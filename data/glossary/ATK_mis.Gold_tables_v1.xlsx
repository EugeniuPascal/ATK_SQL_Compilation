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TK_Project\data\glossary\"/>
    </mc:Choice>
  </mc:AlternateContent>
  <xr:revisionPtr revIDLastSave="0" documentId="13_ncr:1_{E6B18D03-6E4F-4781-BD63-72A1F9CCB8F2}" xr6:coauthVersionLast="47" xr6:coauthVersionMax="47" xr10:uidLastSave="{00000000-0000-0000-0000-000000000000}"/>
  <bookViews>
    <workbookView xWindow="-26775" yWindow="1020" windowWidth="26490" windowHeight="12975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1" l="1"/>
  <c r="E106" i="1"/>
  <c r="E107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04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5" i="1"/>
  <c r="E306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232" i="1"/>
  <c r="E233" i="1"/>
  <c r="E234" i="1"/>
  <c r="E235" i="1"/>
  <c r="E236" i="1"/>
  <c r="E237" i="1"/>
  <c r="E238" i="1"/>
  <c r="E239" i="1"/>
  <c r="E240" i="1"/>
  <c r="E226" i="1"/>
  <c r="E227" i="1"/>
  <c r="E228" i="1"/>
  <c r="E229" i="1"/>
  <c r="E230" i="1"/>
  <c r="E231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06" i="1"/>
  <c r="E205" i="1"/>
  <c r="E204" i="1"/>
  <c r="E203" i="1"/>
  <c r="E200" i="1"/>
  <c r="E199" i="1"/>
  <c r="E198" i="1"/>
  <c r="E197" i="1"/>
  <c r="E196" i="1"/>
  <c r="E195" i="1"/>
  <c r="E194" i="1"/>
  <c r="E193" i="1"/>
  <c r="E192" i="1"/>
  <c r="E208" i="1"/>
  <c r="E209" i="1"/>
  <c r="E210" i="1"/>
  <c r="E211" i="1"/>
  <c r="E212" i="1"/>
  <c r="E213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20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3" i="1"/>
</calcChain>
</file>

<file path=xl/sharedStrings.xml><?xml version="1.0" encoding="utf-8"?>
<sst xmlns="http://schemas.openxmlformats.org/spreadsheetml/2006/main" count="901" uniqueCount="712">
  <si>
    <t>BranchCode</t>
  </si>
  <si>
    <t>BranchName</t>
  </si>
  <si>
    <t>EFSERegion</t>
  </si>
  <si>
    <t>Phones</t>
  </si>
  <si>
    <t>PrintBranchName</t>
  </si>
  <si>
    <t>City</t>
  </si>
  <si>
    <t>BranchRegion</t>
  </si>
  <si>
    <t>Gold Tables</t>
  </si>
  <si>
    <t>ClientID</t>
  </si>
  <si>
    <t>ParentID</t>
  </si>
  <si>
    <t>BranchID</t>
  </si>
  <si>
    <t>IsDeleted</t>
  </si>
  <si>
    <t>IsGroup</t>
  </si>
  <si>
    <t>ClientCode</t>
  </si>
  <si>
    <t>ClientName</t>
  </si>
  <si>
    <t>IsBlocked</t>
  </si>
  <si>
    <t>Visibility</t>
  </si>
  <si>
    <t>Age</t>
  </si>
  <si>
    <t>CreatedDate</t>
  </si>
  <si>
    <t>PartnerCode</t>
  </si>
  <si>
    <t>FullName</t>
  </si>
  <si>
    <t>IsNonResident</t>
  </si>
  <si>
    <t>NoPaymentNotification</t>
  </si>
  <si>
    <t>Gender</t>
  </si>
  <si>
    <t>PostalAddress</t>
  </si>
  <si>
    <t>Country</t>
  </si>
  <si>
    <t>MobilePhone1</t>
  </si>
  <si>
    <t>MobilePhone2</t>
  </si>
  <si>
    <t>FiscalCode</t>
  </si>
  <si>
    <t>LegalAddress</t>
  </si>
  <si>
    <t>RegistrationDate</t>
  </si>
  <si>
    <t>Language</t>
  </si>
  <si>
    <t>NoEmailNotifications</t>
  </si>
  <si>
    <t>NoPromoSMS</t>
  </si>
  <si>
    <t>BranchDepartment</t>
  </si>
  <si>
    <t>[ATK].[dbo].[РегистрыСведений.ОтветственныеПоКредитамВыданным]</t>
  </si>
  <si>
    <t>mis.[2tbl_Gold_Dim_ExpertsHistory]</t>
  </si>
  <si>
    <t>mis.[2tbl_Gold_Fact_BudgetExperts]</t>
  </si>
  <si>
    <t>[ATK].[dbo].[Документы.БюджетПоСотрудникам.Сотрудники]</t>
  </si>
  <si>
    <t>[ATK].[dbo].[Документы.БюджетПоСотрудникам]</t>
  </si>
  <si>
    <t>mis.[2tbl_Gold_Fact_CerereCredit]</t>
  </si>
  <si>
    <t>mis.[2tbl_Gold_Fact_CerereOnline]</t>
  </si>
  <si>
    <t>[ATK].[dbo].[Документы.ЗаявкаНаКредит]</t>
  </si>
  <si>
    <t>[ATK].[dbo].[РегистрыСведений.КредитыВТеневыхФилиалах]</t>
  </si>
  <si>
    <t>mis.[2tbl_Gold_CreditsInShadowBranches]</t>
  </si>
  <si>
    <t>mis.[2tbl_Gold_Fact_Disbursement]</t>
  </si>
  <si>
    <t>[Кредиты Владелец]</t>
  </si>
  <si>
    <t>ОтветственныеПоКредитамВыданнымФилиалID</t>
  </si>
  <si>
    <t>ОтветственныеПоКредитамВыданнымКредитныйЭкспертID</t>
  </si>
  <si>
    <t>SoldDate</t>
  </si>
  <si>
    <t>CreditID</t>
  </si>
  <si>
    <t>SoldAmount</t>
  </si>
  <si>
    <t>IRR</t>
  </si>
  <si>
    <t>ExpertID</t>
  </si>
  <si>
    <t xml:space="preserve">BranchID </t>
  </si>
  <si>
    <t>[КредитыВТеневыхФилиалах Филиал]</t>
  </si>
  <si>
    <t>[КредитыВТеневыхФилиалах Кредит ID]</t>
  </si>
  <si>
    <t>[УстановкаДанныхКредита Внутренняя Норма Доходности Годовая]</t>
  </si>
  <si>
    <t>[СуммыЗадолженностиПоПериодамПросрочки Дата]</t>
  </si>
  <si>
    <t>[СуммыЗадолженностиПоПериодамПросрочки Кредит ID]</t>
  </si>
  <si>
    <t>[СуммыЗадолженностиПоПериодамПросрочки Итого Сумма Остаток Кредит]</t>
  </si>
  <si>
    <t>[ОтветственныеПоКредитамВыданным Кредитный Эксперт ID]</t>
  </si>
  <si>
    <t>[ОтветственныеПоКредитамВыданным Филиал ID]</t>
  </si>
  <si>
    <t>mis.[2tbl_Gold_Fact_Sold]</t>
  </si>
  <si>
    <t>Current values</t>
  </si>
  <si>
    <t>DisbursementDate</t>
  </si>
  <si>
    <t>CurrencyID</t>
  </si>
  <si>
    <t>CreditAmount</t>
  </si>
  <si>
    <t>CreditCurrency</t>
  </si>
  <si>
    <t>FirstFilialID</t>
  </si>
  <si>
    <t>FirstExpertID</t>
  </si>
  <si>
    <t>IRR_Client</t>
  </si>
  <si>
    <t>[УстановкаДанныхКредита Внутренняя Норма Доходности Клиент Годовая]</t>
  </si>
  <si>
    <t>[ДанныеКредитовВыданных Кредит ID]</t>
  </si>
  <si>
    <t>[ДанныеКредитовВыданных Дата Выдачи]</t>
  </si>
  <si>
    <t>[ДанныеКредитовВыданных Валюта Кредита ID]</t>
  </si>
  <si>
    <t>[ДанныеКредитовВыданных Сумма Кредита]</t>
  </si>
  <si>
    <t>[ДанныеКредитовВыданных Валюта Кредита]</t>
  </si>
  <si>
    <t>[КредитыВТеневыхФилиалах Период]</t>
  </si>
  <si>
    <t>[КредитыВТеневыхФилиалах ID]</t>
  </si>
  <si>
    <t>[КредитыВТеневыхФилиалах Номер Строки]</t>
  </si>
  <si>
    <t>[КредитыВТеневыхФилиалах Активность]</t>
  </si>
  <si>
    <t>[КредитыВТеневыхФилиалах Кредит]</t>
  </si>
  <si>
    <t>[КредитыВТеневыхФилиалах Филиал ID]</t>
  </si>
  <si>
    <t>[КредитыВТеневыхФилиалах Кредитный Эксперт ID]</t>
  </si>
  <si>
    <t>[КредитыВТеневыхФилиалах Кредитный Эксперт]</t>
  </si>
  <si>
    <t>ID</t>
  </si>
  <si>
    <t>RowNumber</t>
  </si>
  <si>
    <t>Active</t>
  </si>
  <si>
    <t>Credit</t>
  </si>
  <si>
    <t>Branch</t>
  </si>
  <si>
    <t>CreditExpertID</t>
  </si>
  <si>
    <t>CreditExpert</t>
  </si>
  <si>
    <t>ProductID</t>
  </si>
  <si>
    <t>EconomicSector</t>
  </si>
  <si>
    <t>Currency</t>
  </si>
  <si>
    <t>ContractType</t>
  </si>
  <si>
    <t>ContractDate</t>
  </si>
  <si>
    <t>IncomeSegment</t>
  </si>
  <si>
    <t>[Филиалы ID]</t>
  </si>
  <si>
    <t>[Филиалы Наименование]</t>
  </si>
  <si>
    <t>[Филиалы Наименование Района]</t>
  </si>
  <si>
    <t>[Филиалы Вид Деятельности]</t>
  </si>
  <si>
    <t>[Филиалы Регион EFSE]</t>
  </si>
  <si>
    <t>[Филиалы Адрес]</t>
  </si>
  <si>
    <t>[Филиалы Телефоны]</t>
  </si>
  <si>
    <t>[Филиалы Электронный Адрес]</t>
  </si>
  <si>
    <t>[Филиалы Наименование Филиала для Печати]</t>
  </si>
  <si>
    <t>[Филиалы Координаты Широта]</t>
  </si>
  <si>
    <t>[Филиалы Координаты Долгота]</t>
  </si>
  <si>
    <t>[СведенияОФилиалах Дирекция]</t>
  </si>
  <si>
    <t>[СведенияОФилиалах Регион]</t>
  </si>
  <si>
    <t>[Филиалы Код]</t>
  </si>
  <si>
    <t>DistrictName</t>
  </si>
  <si>
    <t>ActivityType</t>
  </si>
  <si>
    <t>Address</t>
  </si>
  <si>
    <t>Email</t>
  </si>
  <si>
    <t>Latitude</t>
  </si>
  <si>
    <t>Longitude</t>
  </si>
  <si>
    <t>[Кредиты ID]</t>
  </si>
  <si>
    <t>[Кредиты Код]</t>
  </si>
  <si>
    <t>[Кредиты Наименование]</t>
  </si>
  <si>
    <t>[Кредиты Дата Выдачи]</t>
  </si>
  <si>
    <t>[Кредиты Срок Кредита]</t>
  </si>
  <si>
    <t>[Кредиты Сумма Кредита]</t>
  </si>
  <si>
    <t>[Кредиты Сектор Экономики]</t>
  </si>
  <si>
    <t>[Кредиты Финансовый Продукт ID]</t>
  </si>
  <si>
    <t>[Кредиты Финансовый Продукт]</t>
  </si>
  <si>
    <t>[Кредиты Агро]</t>
  </si>
  <si>
    <t>[Кредиты Тип Местности]</t>
  </si>
  <si>
    <t>[Кредиты Валюта]</t>
  </si>
  <si>
    <t>[Кредиты Кредитный Продукт ID]</t>
  </si>
  <si>
    <t>[Кредиты Кредитный Продукт]</t>
  </si>
  <si>
    <t>[Кредиты Цель Кредита]</t>
  </si>
  <si>
    <t>[Кредиты Удалить Источник Финансирования]</t>
  </si>
  <si>
    <t>[Кредиты Вид Контракта]</t>
  </si>
  <si>
    <t>[Кредиты Дата Контракта]</t>
  </si>
  <si>
    <t>[Кредиты Сегмент Доходов]</t>
  </si>
  <si>
    <t>[Кредиты Назначение Использования Кредита]</t>
  </si>
  <si>
    <t>[Кредиты Цель Кредита Описание]</t>
  </si>
  <si>
    <t>[Кредиты Тип Кредитного Продукта]</t>
  </si>
  <si>
    <t>[Кредиты Сфера Использования Кредита]</t>
  </si>
  <si>
    <t>[ФинансовыеПродукты Основная Группа]</t>
  </si>
  <si>
    <t>[Контрагенты ID]</t>
  </si>
  <si>
    <t>[Контрагенты Родитель ID]</t>
  </si>
  <si>
    <t>[Контрагенты Филиал ID]</t>
  </si>
  <si>
    <t>[Контрагенты Пометка Удаления]</t>
  </si>
  <si>
    <t>[Контрагенты Это Группа]</t>
  </si>
  <si>
    <t>[Контрагенты Код]</t>
  </si>
  <si>
    <t>[Контрагенты Наименование]</t>
  </si>
  <si>
    <t>[Контрагенты Блокирован]</t>
  </si>
  <si>
    <t>[Контрагенты Видимость]</t>
  </si>
  <si>
    <t>[Контрагенты Возраст]</t>
  </si>
  <si>
    <t>[Контрагенты Страна]</t>
  </si>
  <si>
    <t>[Контрагенты Дата Создания]</t>
  </si>
  <si>
    <t>[Контрагенты Код Партнера]</t>
  </si>
  <si>
    <t>[Контрагенты Наименование Полное]</t>
  </si>
  <si>
    <t>[Контрагенты Не Резидент]</t>
  </si>
  <si>
    <t>[Контрагенты Не Уведомлять об Оплате]</t>
  </si>
  <si>
    <t>[Контрагенты Пол]</t>
  </si>
  <si>
    <t>[Контрагенты Почт Адрес]</t>
  </si>
  <si>
    <t>[Контрагенты Телефон Мобильный 1]</t>
  </si>
  <si>
    <t>[Контрагенты Телефон Мобильный 2]</t>
  </si>
  <si>
    <t>[Контрагенты Телефоны]</t>
  </si>
  <si>
    <t>[Контрагенты Фиск Код]</t>
  </si>
  <si>
    <t>[Контрагенты Юр Адрес]</t>
  </si>
  <si>
    <t>[Контрагенты Дата Регистрации]</t>
  </si>
  <si>
    <t>[Контрагенты Язык]</t>
  </si>
  <si>
    <t>[Контрагенты Не Уведомлять Письмом]</t>
  </si>
  <si>
    <t>[Контрагенты Не Отправлять Рекламные СМС]</t>
  </si>
  <si>
    <t>[Сотрудники ID]</t>
  </si>
  <si>
    <t>[Сотрудники Код]</t>
  </si>
  <si>
    <t>[Сотрудники Дата Приема]</t>
  </si>
  <si>
    <t>[Сотрудники Дата Увольнения]</t>
  </si>
  <si>
    <t>[Сотрудники Дата Рождения]</t>
  </si>
  <si>
    <t>[Сотрудники Табельный Номер]</t>
  </si>
  <si>
    <t>Period</t>
  </si>
  <si>
    <t>IsActive</t>
  </si>
  <si>
    <t>Credit_ID</t>
  </si>
  <si>
    <t>Filial_ID</t>
  </si>
  <si>
    <t>Filial</t>
  </si>
  <si>
    <t>Expert_ID</t>
  </si>
  <si>
    <t>Expert</t>
  </si>
  <si>
    <t>[ОтветственныеПоКредитамВыданным Кредитный Эксперт]</t>
  </si>
  <si>
    <t>[ОтветственныеПоКредитамВыданным Филиал]</t>
  </si>
  <si>
    <t>[ОтветственныеПоКредитамВыданным Кредит]</t>
  </si>
  <si>
    <t>[ОтветственныеПоКредитамВыданным Кредит ID]</t>
  </si>
  <si>
    <t>[ОтветственныеПоКредитамВыданным Активность]</t>
  </si>
  <si>
    <t>[ОтветственныеПоКредитамВыданным Номер Строки]</t>
  </si>
  <si>
    <t>[ОтветственныеПоКредитамВыданным ID]</t>
  </si>
  <si>
    <t>[ОтветственныеПоКредитамВыданным Период]</t>
  </si>
  <si>
    <t>[БюджетПоСотрудникам PAR30 Нон Бизнес]</t>
  </si>
  <si>
    <t>[БюджетПоСотрудникам.Сотрудники Сотрудник]</t>
  </si>
  <si>
    <t>[БюджетПоСотрудникам.Сотрудники Сумма Выдано]</t>
  </si>
  <si>
    <t>[БюджетПоСотрудникам.Сотрудники Сумма Портфель]</t>
  </si>
  <si>
    <t>[БюджетПоСотрудникам.Сотрудники Сумма Возмещено]</t>
  </si>
  <si>
    <t>[БюджетПоСотрудникам.Сотрудники Сумма Оплачено]</t>
  </si>
  <si>
    <t>[БюджетПоСотрудникам.Сотрудники Количество Выдано]</t>
  </si>
  <si>
    <t>[БюджетПоСотрудникам.Сотрудники Количество Продвижений Визиты в День]</t>
  </si>
  <si>
    <t>[БюджетПоСотрудникам.Сотрудники Количество Продвижений Звонки в День]</t>
  </si>
  <si>
    <t>[БюджетПоСотрудникам.Сотрудники PAR0]</t>
  </si>
  <si>
    <t>[БюджетПоСотрудникам.Сотрудники PAR30]</t>
  </si>
  <si>
    <t>[БюджетПоСотрудникам.Сотрудники Финансовый Продукт ID]</t>
  </si>
  <si>
    <t>[БюджетПоСотрудникам.Сотрудники Финансовый Продукт]</t>
  </si>
  <si>
    <t>[БюджетПоСотрудникам Версия Данных]</t>
  </si>
  <si>
    <t>[БюджетПоСотрудникам Пометка Удаления]</t>
  </si>
  <si>
    <t>[БюджетПоСотрудникам Дата]</t>
  </si>
  <si>
    <t>[БюджетПоСотрудникам Номер]</t>
  </si>
  <si>
    <t>[БюджетПоСотрудникам Проведен]</t>
  </si>
  <si>
    <t>[БюджетПоСотрудникам Филиал ID]</t>
  </si>
  <si>
    <t>[БюджетПоСотрудникам Филиал]</t>
  </si>
  <si>
    <t>[БюджетПоСотрудникам Комментарий]</t>
  </si>
  <si>
    <t>[БюджетПоСотрудникам Организация]</t>
  </si>
  <si>
    <t>[БюджетПоСотрудникам Сумма Выдано Итого]</t>
  </si>
  <si>
    <t>[БюджетПоСотрудникам Сумма Портфель Итого]</t>
  </si>
  <si>
    <t>[БюджетПоСотрудникам Сумма Оплачено Итого]</t>
  </si>
  <si>
    <t>[БюджетПоСотрудникам Сумма Возмещено Итого]</t>
  </si>
  <si>
    <t>[БюджетПоСотрудникам PAR0]</t>
  </si>
  <si>
    <t>[БюджетПоСотрудникам PAR30]</t>
  </si>
  <si>
    <t>[БюджетПоСотрудникам PAR0 Нон Бизнес]</t>
  </si>
  <si>
    <t>[ЗаявкаНаКредит ID]</t>
  </si>
  <si>
    <t>DealerID</t>
  </si>
  <si>
    <t>Registrar_Tref</t>
  </si>
  <si>
    <t xml:space="preserve">[КредитыВТеневыхФилиалах Регистратор _TRef] </t>
  </si>
  <si>
    <t>Registrar_TRef</t>
  </si>
  <si>
    <t>[ATK].[mis].[Silver_РегистрыСведений.КредитыВТеневыхФилиалах]</t>
  </si>
  <si>
    <t>[СведенияОПользователяхМобильногоПриложения Клиент]</t>
  </si>
  <si>
    <t>[СведенияОПользователяхМобильногоПриложения Клиент ID]</t>
  </si>
  <si>
    <t>[СведенияОПользователяхМобильногоПриложения Ид Пользователя]</t>
  </si>
  <si>
    <t>[СведенияОПользователяхМобильногоПриложения Телефон]</t>
  </si>
  <si>
    <t>[СведенияОПользователяхМобильногоПриложения Фиск Код]</t>
  </si>
  <si>
    <t>App_User_ClientID</t>
  </si>
  <si>
    <t>App_User_UserID</t>
  </si>
  <si>
    <t>App_User_Phone</t>
  </si>
  <si>
    <t>App_User_FiscalCode</t>
  </si>
  <si>
    <t>App_User_ClientName</t>
  </si>
  <si>
    <t>[Контрагенты Город]</t>
  </si>
  <si>
    <t>[ФормыПредприятия Наименование]</t>
  </si>
  <si>
    <t>OrganizationType</t>
  </si>
  <si>
    <t>FinancialProductsMainGroup</t>
  </si>
  <si>
    <t>[Кредиты Источник Подписания]</t>
  </si>
  <si>
    <t>IssuedCreditsStatus</t>
  </si>
  <si>
    <t>[СтатусыКредитовВыданных Статус]</t>
  </si>
  <si>
    <t>[ATK].[mis].[Silver_Документы.ЗаявкаНаКредит]</t>
  </si>
  <si>
    <t>[ЗаявкаНаКредит Партнер ID]</t>
  </si>
  <si>
    <t>CreditApplicationPartnerID</t>
  </si>
  <si>
    <t>LatestOutstandingAmount</t>
  </si>
  <si>
    <t>[ATK].[mis].[Silver_РегистрыСведений.ОтветственныеПоКредитамВыданным]</t>
  </si>
  <si>
    <t>[ОтветственныеПоКредитамВыданным Регистратор _TRef]</t>
  </si>
  <si>
    <t>[Дилеры Представитель Организации]</t>
  </si>
  <si>
    <t>[ФилиалыКонтрагентов ID]</t>
  </si>
  <si>
    <t>[ФилиалыКонтрагентов Пометка Удаления]</t>
  </si>
  <si>
    <t>[ФилиалыКонтрагентов Владелец]</t>
  </si>
  <si>
    <t>[ФилиалыКонтрагентов Код]</t>
  </si>
  <si>
    <t>[ФилиалыКонтрагентов Наименование]</t>
  </si>
  <si>
    <t>[ФилиалыКонтрагентов Адрес]</t>
  </si>
  <si>
    <t>[Дилеры ID]</t>
  </si>
  <si>
    <t>[Дилеры Эксперт по Умолчанию ID]</t>
  </si>
  <si>
    <t>[Дилеры Эксперт по Умолчанию]</t>
  </si>
  <si>
    <t>[Дилеры Представитель Организации ID]</t>
  </si>
  <si>
    <t>[ЗаявкаНаКредит Дата]</t>
  </si>
  <si>
    <t>[ЗаявкаНаКредит Номер]</t>
  </si>
  <si>
    <t>[ЗаявкаНаКредит Проведен]</t>
  </si>
  <si>
    <t>[ЗаявкаНаКредит Автор]</t>
  </si>
  <si>
    <t>[ЗаявкаНаКредит Агро]</t>
  </si>
  <si>
    <t>[ЗаявкаНаКредит Альтернативный Сектор Экономики]</t>
  </si>
  <si>
    <t>[ЗаявкаНаКредит Бизнес Организация]</t>
  </si>
  <si>
    <t>[ЗаявкаНаКредит Бизнес Сектор Экономики]</t>
  </si>
  <si>
    <t>[ЗаявкаНаКредит Валюта]</t>
  </si>
  <si>
    <t>[ЗаявкаНаКредит Вид Заявки]</t>
  </si>
  <si>
    <t>[ЗаявкаНаКредит Вид Кредитной Истории]</t>
  </si>
  <si>
    <t>[ЗаявкаНаКредит Вид Обеспечения]</t>
  </si>
  <si>
    <t>[ЗаявкаНаКредит Вид Отказа]</t>
  </si>
  <si>
    <t>[ЗаявкаНаКредит Вид Перечисления]</t>
  </si>
  <si>
    <t>[ЗаявкаНаКредит Вид Реструктуризации Долга]</t>
  </si>
  <si>
    <t>[ЗаявкаНаКредит Вид Энергетической Эффективности]</t>
  </si>
  <si>
    <t>[ЗаявкаНаКредит Дилер]</t>
  </si>
  <si>
    <t>[ЗаявкаНаКредит Заявка Клиента Интернет ID]</t>
  </si>
  <si>
    <t>[ЗаявкаНаКредит Заявка Клиента Интернет]</t>
  </si>
  <si>
    <t>[ЗаявкаНаКредит Идентификатор]</t>
  </si>
  <si>
    <t>[ЗаявкаНаКредит Имя Клиента]</t>
  </si>
  <si>
    <t>[ЗаявкаНаКредит Категория Цель Кредита]</t>
  </si>
  <si>
    <t>[ЗаявкаНаКредит Категория Энергетической Эффективности]</t>
  </si>
  <si>
    <t>[ЗаявкаНаКредит Клиент ID]</t>
  </si>
  <si>
    <t>[ЗаявкаНаКредит Клиент]</t>
  </si>
  <si>
    <t>[ЗаявкаНаКредит Количество Членов Семьи Итого]</t>
  </si>
  <si>
    <t>[ЗаявкаНаКредит Количество Членов Семьи на Иждевении]</t>
  </si>
  <si>
    <t>[ЗаявкаНаКредит Комитет ID]</t>
  </si>
  <si>
    <t>[ЗаявкаНаКредит Комитет]</t>
  </si>
  <si>
    <t>[ЗаявкаНаКредит Кредит ID]</t>
  </si>
  <si>
    <t>[ЗаявкаНаКредит Кредитный Продукт ID]</t>
  </si>
  <si>
    <t>[ЗаявкаНаКредит Кредитный Эксперт ID]</t>
  </si>
  <si>
    <t>[ЗаявкаНаКредит Кредитный Эксперт]</t>
  </si>
  <si>
    <t>[ЗаявкаНаКредит Причина Отказа]</t>
  </si>
  <si>
    <t>[ЗаявкаНаКредит Протокол Комитета ID]</t>
  </si>
  <si>
    <t>[ЗаявкаНаКредит Протокол Комитета]</t>
  </si>
  <si>
    <t>[ЗаявкаНаКредит Решение Комитета]</t>
  </si>
  <si>
    <t>[ЗаявкаНаКредит Сектор Экономики]</t>
  </si>
  <si>
    <t>[ЗаявкаНаКредит Скоринг Финальная Оценка]</t>
  </si>
  <si>
    <t>[ЗаявкаНаКредит Состояние Заявки]</t>
  </si>
  <si>
    <t>[ЗаявкаНаКредит Срок Кредита]</t>
  </si>
  <si>
    <t>[ЗаявкаНаКредит Стаж Работы Общий]</t>
  </si>
  <si>
    <t>[ЗаявкаНаКредит Сумма Кредита]</t>
  </si>
  <si>
    <t>[ЗаявкаНаКредит Уровень Финансового Риска]</t>
  </si>
  <si>
    <t>[ЗаявкаНаКредит Филиал ID]</t>
  </si>
  <si>
    <t>[ЗаявкаНаКредит Филиал Партнера]</t>
  </si>
  <si>
    <t>[ЗаявкаНаКредит Финансовый Продукт ID]</t>
  </si>
  <si>
    <t>[ЗаявкаНаКредит Финансовый Продукт]</t>
  </si>
  <si>
    <t>[ЗаявкаНаКредит Цель Кредита]</t>
  </si>
  <si>
    <t>[ЗаявкаНаКредит Это Зеленый Кредит]</t>
  </si>
  <si>
    <t>[ОбъединеннаяИнтернетЗаявка ID]</t>
  </si>
  <si>
    <t>[ОбъединеннаяИнтернетЗаявка Дата]</t>
  </si>
  <si>
    <t>[ОбъединеннаяИнтернетЗаявка Номер]</t>
  </si>
  <si>
    <t>[ОбъединеннаяИнтернетЗаявка Проведен]</t>
  </si>
  <si>
    <t>[ОбъединеннаяИнтернетЗаявка Автор ID]</t>
  </si>
  <si>
    <t>[ОбъединеннаяИнтернетЗаявка Автор]</t>
  </si>
  <si>
    <t>[ОбъединеннаяИнтернетЗаявка Вид Доходов Онлайн]</t>
  </si>
  <si>
    <t>[ОбъединеннаяИнтернетЗаявка Вид Интернет Заявки]</t>
  </si>
  <si>
    <t>[ОбъединеннаяИнтернетЗаявка Возраст]</t>
  </si>
  <si>
    <t>[ОбъединеннаяИнтернетЗаявка Дата Отправки на Рассмотрение]</t>
  </si>
  <si>
    <t>[ОбъединеннаяИнтернетЗаявка Заявка на Кредит ID]</t>
  </si>
  <si>
    <t>[ОбъединеннаяИнтернетЗаявка Заявка на Кредит]</t>
  </si>
  <si>
    <t>[ОбъединеннаяИнтернетЗаявка Идентификатор]</t>
  </si>
  <si>
    <t>[ОбъединеннаяИнтернетЗаявка Компания Фиск Код]</t>
  </si>
  <si>
    <t>[ОбъединеннаяИнтернетЗаявка Консультант Партнера]</t>
  </si>
  <si>
    <t>[ОбъединеннаяИнтернетЗаявка Кредитный Продукт WEB ID]</t>
  </si>
  <si>
    <t>[ОбъединеннаяИнтернетЗаявка Кредитный Продукт WEB]</t>
  </si>
  <si>
    <t>[ОбъединеннаяИнтернетЗаявка Кредитный Эксперт ID]</t>
  </si>
  <si>
    <t>[ОбъединеннаяИнтернетЗаявка Кредитный Эксперт]</t>
  </si>
  <si>
    <t>[ОбъединеннаяИнтернетЗаявка Номер Телефона Мобильный]</t>
  </si>
  <si>
    <t>[ОбъединеннаяИнтернетЗаявка Отправлена на Рассмотрение]</t>
  </si>
  <si>
    <t>[ОбъединеннаяИнтернетЗаявка Пол]</t>
  </si>
  <si>
    <t>[ОбъединеннаяИнтернетЗаявка Состояние Заявки]</t>
  </si>
  <si>
    <t>[ОбъединеннаяИнтернетЗаявка Срок Кредита]</t>
  </si>
  <si>
    <t>[ОбъединеннаяИнтернетЗаявка Сумма Кредита]</t>
  </si>
  <si>
    <t>[ОбъединеннаяИнтернетЗаявка Филиал ID]</t>
  </si>
  <si>
    <t>[ATK].[mis].[Silver_Документы.ОбъединеннаяИнтернетЗаявка]</t>
  </si>
  <si>
    <t>Owner</t>
  </si>
  <si>
    <t>Code</t>
  </si>
  <si>
    <t>Name</t>
  </si>
  <si>
    <t>IssueDate</t>
  </si>
  <si>
    <t>Term</t>
  </si>
  <si>
    <t>Amount</t>
  </si>
  <si>
    <t>FinancialProductID</t>
  </si>
  <si>
    <t>FinancialProduct</t>
  </si>
  <si>
    <t>LocalityType</t>
  </si>
  <si>
    <t>Product</t>
  </si>
  <si>
    <t>Purpose</t>
  </si>
  <si>
    <t>RemoveFundingSource</t>
  </si>
  <si>
    <t>UsagePurpose</t>
  </si>
  <si>
    <t>PurposeDescription</t>
  </si>
  <si>
    <t>ProductType</t>
  </si>
  <si>
    <t>SigningSource</t>
  </si>
  <si>
    <t>[ATK].[mis].[Silver_РегистрыСведений.ДанныеКредитовВыданных]</t>
  </si>
  <si>
    <t>[ATK].[mis].[Silver_Справочники.Кредиты</t>
  </si>
  <si>
    <t>[ATK].[mis].[Silver_РегистрыСведений.Валюта]</t>
  </si>
  <si>
    <t>[ATK].[mis].[Silver_Документы.УстановкаДанныхКредита]</t>
  </si>
  <si>
    <t>[ATK].[mis].[Silver_РегистрыСведений.АнулированныеКредитыПартнеров]</t>
  </si>
  <si>
    <t>[Валюта Курс]</t>
  </si>
  <si>
    <t>[Валюта Валюта ID]</t>
  </si>
  <si>
    <t>[Валюта Период]</t>
  </si>
  <si>
    <t>[БюджетПоСотрудникам ID]</t>
  </si>
  <si>
    <t xml:space="preserve">[ЗаявкаНаКредит Причина Отказа] </t>
  </si>
  <si>
    <t>FROM Tables/columns</t>
  </si>
  <si>
    <t>mis.Gold_Dim_AppUsers</t>
  </si>
  <si>
    <t>mis.Gold_Dim_Branch</t>
  </si>
  <si>
    <t>[СведенияОФилиалах Дирекция ID]</t>
  </si>
  <si>
    <t>[СведенияОФилиалах Регион ID]</t>
  </si>
  <si>
    <t>BranchDepartmentID</t>
  </si>
  <si>
    <t>BranchRegionID</t>
  </si>
  <si>
    <t>mis.Gold_Dim_Clients</t>
  </si>
  <si>
    <t xml:space="preserve">EconomicSector </t>
  </si>
  <si>
    <t>[Контрагенты Сектор Экономики]</t>
  </si>
  <si>
    <t xml:space="preserve">[ГруппыАффилированныхЛиц Код] </t>
  </si>
  <si>
    <t>GroupID</t>
  </si>
  <si>
    <t xml:space="preserve">CRM_Status </t>
  </si>
  <si>
    <t>CRM_ClientType</t>
  </si>
  <si>
    <t>CRM_Employee</t>
  </si>
  <si>
    <t xml:space="preserve">[СлужебныйДанныеПоКлиентуДляCRM Статус] </t>
  </si>
  <si>
    <t>[СлужебныйДанныеПоКлиентуДляCRM Тип Клиента CRM]</t>
  </si>
  <si>
    <t>[СлужебныйДанныеПоКлиентуДляCRM Сотрудник]</t>
  </si>
  <si>
    <t>ANK_LegalAddress</t>
  </si>
  <si>
    <t>ANK_ActualAddress</t>
  </si>
  <si>
    <t>[АнкетаПерсональныхДанныхКлиента Юридический Адрес]</t>
  </si>
  <si>
    <t>[АнкетаПерсональныхДанныхКлиента Фактический Адрес]</t>
  </si>
  <si>
    <t>mis.Gold_Dim_Credits</t>
  </si>
  <si>
    <t>EconomicSectorDetailed</t>
  </si>
  <si>
    <t>AgroCredit</t>
  </si>
  <si>
    <t>EconomicUsageArea</t>
  </si>
  <si>
    <t>[ЗаявкаНаКредит Партнер]</t>
  </si>
  <si>
    <t>CreditPartnerName</t>
  </si>
  <si>
    <t>[ОбъединеннаяИнтернетЗаявка Дилер ID]</t>
  </si>
  <si>
    <t>[ОбъединеннаяИнтернетЗаявка Источник Заполнения]</t>
  </si>
  <si>
    <t>Source</t>
  </si>
  <si>
    <t>SegmentRevenue</t>
  </si>
  <si>
    <t>[КредитныеПродукты Сегмент Доходов]</t>
  </si>
  <si>
    <t>[ПротоколКомитета Это Зеленый Кредит]</t>
  </si>
  <si>
    <t>GreenCredit</t>
  </si>
  <si>
    <t>CommitteeProt_CrPurpose</t>
  </si>
  <si>
    <t>CommitteeProt_AMLRiskCat</t>
  </si>
  <si>
    <t>EconomicSectorEFSE</t>
  </si>
  <si>
    <t>[ПротоколКомитета Назначение Использования Кредита]</t>
  </si>
  <si>
    <t>[ПротоколКомитета Категория Риска AML]</t>
  </si>
  <si>
    <t>[СекторыЭкономики Сектор Экономики EFSE]</t>
  </si>
  <si>
    <t>[СекторыЭкономики Основной Раздел]</t>
  </si>
  <si>
    <t>[РегистрыСведений.СведенияОПользователяхМобильногоПриложения]</t>
  </si>
  <si>
    <t>[Справочники.Филиалы]</t>
  </si>
  <si>
    <t>[Справочники.Контрагенты]</t>
  </si>
  <si>
    <t>[РегистрыСведений.СведенияОФилиалах]</t>
  </si>
  <si>
    <t>[Справочники.ФормыПредприятия]</t>
  </si>
  <si>
    <t>[Справочники.ГруппыАффилированныхЛиц]</t>
  </si>
  <si>
    <t>[РегистрыСведений.СлужебныйДанныеПоКлиентуДляCRM]</t>
  </si>
  <si>
    <t>[Документы.АнкетаПерсональныхДанныхКлиента]</t>
  </si>
  <si>
    <t>[Справочники.Кредиты]</t>
  </si>
  <si>
    <t>FirstEmployeeID/LastEmployeeID</t>
  </si>
  <si>
    <t>[РегистрыСведений.ОтветственныеПоКредитамВыданным]</t>
  </si>
  <si>
    <t>[Справочники.СекторыЭкономики]</t>
  </si>
  <si>
    <t>[Справочники.КредитныеПродукты]</t>
  </si>
  <si>
    <t>[Справочники.ФинансовыеПродукты]</t>
  </si>
  <si>
    <t>[РегистрыСведений.СтатусыКредитовВыданных]</t>
  </si>
  <si>
    <t>[Документы.ЗаявкаНаКредит]</t>
  </si>
  <si>
    <t>[Документы.ОбъединеннаяИнтернетЗаявка]</t>
  </si>
  <si>
    <t>[РегистрыСведений.СуммыЗадолженностиПоПериодамПросрочки]</t>
  </si>
  <si>
    <t>[Документы.ПротоколКомитета]</t>
  </si>
  <si>
    <t>EmployeePositionID</t>
  </si>
  <si>
    <t>EmployeePosition</t>
  </si>
  <si>
    <t>[СотрудникиДанныеПоЗарплате Должность ID]</t>
  </si>
  <si>
    <t>[СотрудникиДанныеПоЗарплате Должность]</t>
  </si>
  <si>
    <t>[РегистрыСведений.СотрудникиДанныеПоЗарплате]</t>
  </si>
  <si>
    <t>mis.Gold_Dim_EmployeePayrollData</t>
  </si>
  <si>
    <t>mis.Gold_Dim_Employees</t>
  </si>
  <si>
    <t>EmployeeID</t>
  </si>
  <si>
    <t>EmployeeCode</t>
  </si>
  <si>
    <t>EmployeeName</t>
  </si>
  <si>
    <t>HireDate</t>
  </si>
  <si>
    <t>BirthDate</t>
  </si>
  <si>
    <t>DismissalDate</t>
  </si>
  <si>
    <t>TimesheetNumber</t>
  </si>
  <si>
    <t>[СотрудникиДанныеПоЗарплате Филиал ID]</t>
  </si>
  <si>
    <t>[Сотрудники Наименование</t>
  </si>
  <si>
    <t>[СотрудникиДанныеПоЗарплате Вид Должности]</t>
  </si>
  <si>
    <t>EmploymentPositionType</t>
  </si>
  <si>
    <t>mis.Gold_Dim_EmployeesHistory</t>
  </si>
  <si>
    <t>Employee_ID</t>
  </si>
  <si>
    <t>Employee</t>
  </si>
  <si>
    <t xml:space="preserve">[ОтветственныеПоКредитамВыданным Период] </t>
  </si>
  <si>
    <t xml:space="preserve">[ОтветственныеПоКредитамВыданным ID] </t>
  </si>
  <si>
    <t xml:space="preserve">[ОтветственныеПоКредитамВыданным Кредит]                    </t>
  </si>
  <si>
    <t xml:space="preserve">[ОтветственныеПоКредитамВыданным Кредитный Эксперт] </t>
  </si>
  <si>
    <t>Updated_Names</t>
  </si>
  <si>
    <t>SUGGEST a NAME</t>
  </si>
  <si>
    <t>mis.Gold_Dim_Events</t>
  </si>
  <si>
    <t>Event_Period</t>
  </si>
  <si>
    <t>Event_ID</t>
  </si>
  <si>
    <t>Event_ClientID</t>
  </si>
  <si>
    <t>Event_Status</t>
  </si>
  <si>
    <t>Event_Kind</t>
  </si>
  <si>
    <t>Event_Type</t>
  </si>
  <si>
    <t>Event_Project</t>
  </si>
  <si>
    <t>Event_Content</t>
  </si>
  <si>
    <t>Event_ResponsibleID</t>
  </si>
  <si>
    <t>Event_Responsible</t>
  </si>
  <si>
    <t>Event_NextDateEvent</t>
  </si>
  <si>
    <t xml:space="preserve">EmployeeBranch </t>
  </si>
  <si>
    <t>Event_NextKindEvent</t>
  </si>
  <si>
    <t>Event_BranchID</t>
  </si>
  <si>
    <t>Event_Branch_Name</t>
  </si>
  <si>
    <t>[СведенияОСобытиях Период]</t>
  </si>
  <si>
    <t>[СведенияОСобытиях ID]</t>
  </si>
  <si>
    <t>[СведенияОСобытиях Контрагент ID]</t>
  </si>
  <si>
    <t>[СведенияОСобытиях Состояние События]</t>
  </si>
  <si>
    <t>[СведенияОСобытиях Вид События]</t>
  </si>
  <si>
    <t>[СведенияОСобытиях Тип События]</t>
  </si>
  <si>
    <t>[СведенияОСобытиях Проект]</t>
  </si>
  <si>
    <t>[СведенияОСобытиях Содержание События]</t>
  </si>
  <si>
    <t>[СведенияОСобытиях Ответственный ID]</t>
  </si>
  <si>
    <t>[СведенияОСобытиях Ответственный]</t>
  </si>
  <si>
    <t>[СведенияОСобытиях Дата Следующего События]</t>
  </si>
  <si>
    <t>[СведенияОСобытиях Вид Следующего События]</t>
  </si>
  <si>
    <t>[СведенияОСобытиях Филиал ID]</t>
  </si>
  <si>
    <t>[СведенияОСобытиях Филиал]</t>
  </si>
  <si>
    <t>[СотрудникиДанныеПоЗарплате Филиал]</t>
  </si>
  <si>
    <t>[РегистрыСведений.СведенияОСобытиях]</t>
  </si>
  <si>
    <t>mis.Gold_Dim_GroupMembershipPeriods</t>
  </si>
  <si>
    <t>PersonID</t>
  </si>
  <si>
    <t>PersonName</t>
  </si>
  <si>
    <t>PeriodOriginal</t>
  </si>
  <si>
    <t>ActiveFlag</t>
  </si>
  <si>
    <t>ExcludedFlag</t>
  </si>
  <si>
    <t>GroupName</t>
  </si>
  <si>
    <t>GroupOwner</t>
  </si>
  <si>
    <t>GroupCode</t>
  </si>
  <si>
    <t>GroupNameFull</t>
  </si>
  <si>
    <t>GroupOwnerTax</t>
  </si>
  <si>
    <t>[СоставГруппАффилированныхЛиц Группа Аффилированных Лиц ID]</t>
  </si>
  <si>
    <t>[СоставГруппАффилированныхЛиц Контрагент ID]</t>
  </si>
  <si>
    <t>[СоставГруппАффилированныхЛиц Контрагент]</t>
  </si>
  <si>
    <t>[СоставГруппАффилированныхЛиц Период]</t>
  </si>
  <si>
    <t>[СоставГруппАффилированныхЛиц Активность]</t>
  </si>
  <si>
    <t>[СоставГруппАффилированныхЛиц Исключен]</t>
  </si>
  <si>
    <t>[СоставГруппАффилированныхЛиц Группа Аффилированных Лиц]</t>
  </si>
  <si>
    <t>[РегистрыСведений.СоставГруппАффилированныхЛиц]</t>
  </si>
  <si>
    <t>[ГруппыАффилированныхЛиц Владелец]</t>
  </si>
  <si>
    <t>[ГруппыАффилированныхЛиц Код]</t>
  </si>
  <si>
    <t>[ГруппыАффилированныхЛиц Наименование]</t>
  </si>
  <si>
    <t>[ГруппыАффилированныхЛиц Владелец Фиск Код]</t>
  </si>
  <si>
    <t>mis.Gold_Dim_PartnersBranch</t>
  </si>
  <si>
    <t>First_Filial_ID/Last_Filial_ID</t>
  </si>
  <si>
    <t>First_Expert_ID/Last_Expert_ID</t>
  </si>
  <si>
    <t xml:space="preserve">[Справочники.ФилиалыКонтрагентов] </t>
  </si>
  <si>
    <t>PartnerOwnerName</t>
  </si>
  <si>
    <t>PartnerBranchAddress</t>
  </si>
  <si>
    <t>PartnerBranchName</t>
  </si>
  <si>
    <t>PartnerBranchCode</t>
  </si>
  <si>
    <t>PartnerBranchOwner</t>
  </si>
  <si>
    <t>PartnerBranchDeletedFlag</t>
  </si>
  <si>
    <t>PartnerBranchID</t>
  </si>
  <si>
    <t>[Дилеры Вид Кабинета]</t>
  </si>
  <si>
    <t>[Дилеры Вид Кабинета ID]</t>
  </si>
  <si>
    <t>[Справочники.Дилеры]</t>
  </si>
  <si>
    <t>[КонтактнаяИнформация Поле 2]</t>
  </si>
  <si>
    <t>mis.Gold_Fact_AdminTasks</t>
  </si>
  <si>
    <t>DealerDefaultEmployeeID</t>
  </si>
  <si>
    <t>DealerDefaultEmployeeName</t>
  </si>
  <si>
    <t>DealerOrgRepID</t>
  </si>
  <si>
    <t>DealerOrgRepName</t>
  </si>
  <si>
    <t>DealerCabinetID</t>
  </si>
  <si>
    <t>DealerCabinetType</t>
  </si>
  <si>
    <t>Contact_Info</t>
  </si>
  <si>
    <t xml:space="preserve">AdminTask_ID  </t>
  </si>
  <si>
    <t xml:space="preserve">AdminTask_Deleted  </t>
  </si>
  <si>
    <t xml:space="preserve">AdminTask_Date  </t>
  </si>
  <si>
    <t xml:space="preserve">AdminTask_Number  </t>
  </si>
  <si>
    <t xml:space="preserve">AdminTask_Completed  </t>
  </si>
  <si>
    <t xml:space="preserve">AdminTask_Author_ID  </t>
  </si>
  <si>
    <t xml:space="preserve">AdminTask_Author  </t>
  </si>
  <si>
    <t xml:space="preserve">AdminTask_Branch_ID  </t>
  </si>
  <si>
    <t xml:space="preserve">AdminTask_Branch  </t>
  </si>
  <si>
    <t xml:space="preserve">AdminTask_Category_ID  </t>
  </si>
  <si>
    <t xml:space="preserve">AdminTask_Category  </t>
  </si>
  <si>
    <t xml:space="preserve">AdminTask_Type_ID  </t>
  </si>
  <si>
    <t xml:space="preserve">AdminTask_Type  </t>
  </si>
  <si>
    <t xml:space="preserve">AdminTask_Description  </t>
  </si>
  <si>
    <t xml:space="preserve">AdminTask_Base_ID  </t>
  </si>
  <si>
    <t xml:space="preserve">AdminTask_Source_Type  </t>
  </si>
  <si>
    <t xml:space="preserve">AdminTask_Source_View  </t>
  </si>
  <si>
    <t xml:space="preserve">AdminTask_Source_ID  </t>
  </si>
  <si>
    <t xml:space="preserve">AdminTask_Client_ID  </t>
  </si>
  <si>
    <t xml:space="preserve">AdminTask_Client  </t>
  </si>
  <si>
    <t xml:space="preserve">AdminTask_Credit_ID  </t>
  </si>
  <si>
    <t xml:space="preserve">AdminTask_Credit  </t>
  </si>
  <si>
    <t xml:space="preserve">AdminTask_Limit_ID  </t>
  </si>
  <si>
    <t xml:space="preserve">AdminTask_Limit  </t>
  </si>
  <si>
    <t xml:space="preserve">AdminTask_CurrentStatus_ID  </t>
  </si>
  <si>
    <t xml:space="preserve">AdminTask_CompletionDate  </t>
  </si>
  <si>
    <t>AdminTask_CurrentStatus</t>
  </si>
  <si>
    <t>AdminTask_CurrentComment</t>
  </si>
  <si>
    <t>AdminTask_SLA</t>
  </si>
  <si>
    <t xml:space="preserve">AdminTask_Priority_ID  </t>
  </si>
  <si>
    <t xml:space="preserve">AdminTask_Executor  </t>
  </si>
  <si>
    <t xml:space="preserve">TaskType_Deleted  </t>
  </si>
  <si>
    <t xml:space="preserve">TaskType_Parent_ID  </t>
  </si>
  <si>
    <t xml:space="preserve">TaskType_Code  </t>
  </si>
  <si>
    <t xml:space="preserve">TaskType_Name  </t>
  </si>
  <si>
    <t xml:space="preserve">StatusHistory_ID  </t>
  </si>
  <si>
    <t xml:space="preserve">StatusHistory_UserID  </t>
  </si>
  <si>
    <t xml:space="preserve">StatusHistory_User  </t>
  </si>
  <si>
    <t xml:space="preserve">StatusHistory_StartDate  </t>
  </si>
  <si>
    <t xml:space="preserve">StatusHistory_EndDate  </t>
  </si>
  <si>
    <t xml:space="preserve">СведенияОНаправленияхНаВыплату Направление на Выплату ID  </t>
  </si>
  <si>
    <t xml:space="preserve">СведенияОНаправленияхНаВыплату Дата Создания  </t>
  </si>
  <si>
    <t xml:space="preserve">СведенияОНаправленияхНаВыплату Дата Взятия в Работу  </t>
  </si>
  <si>
    <t xml:space="preserve">СведенияОНаправленияхНаВыплату Дата Утверждения  </t>
  </si>
  <si>
    <t xml:space="preserve">СведенияОНаправленияхНаВыплату Дата Пометки Удаления  </t>
  </si>
  <si>
    <t xml:space="preserve">СведенияОНаправленияхНаВыплату Тип Направления на Выплату ID  </t>
  </si>
  <si>
    <t xml:space="preserve">НаправлениеНаВыплату ID  </t>
  </si>
  <si>
    <t>AdminTask_KPI</t>
  </si>
  <si>
    <t>AdminTask_TaskCount</t>
  </si>
  <si>
    <t>AdminTask_Priority</t>
  </si>
  <si>
    <t>TaskType_IsGroup</t>
  </si>
  <si>
    <t>TaskType_Order</t>
  </si>
  <si>
    <t>TaskType_SLA</t>
  </si>
  <si>
    <t>TaskType_KPI</t>
  </si>
  <si>
    <t>TaskType_BlockEditCount</t>
  </si>
  <si>
    <t>TaskType_MaxTime</t>
  </si>
  <si>
    <t>StatusHistory_RowNumber</t>
  </si>
  <si>
    <t>StatusHistory_Status</t>
  </si>
  <si>
    <t>StatusHistory_Comment</t>
  </si>
  <si>
    <t>StatusHistory_Seconds</t>
  </si>
  <si>
    <t>СведенияОНаправленияхНаВыплату Направление на Выплату</t>
  </si>
  <si>
    <t>СведенияОНаправленияхНаВыплату SLA</t>
  </si>
  <si>
    <t>СведенияОНаправленияхНаВыплату Максимальное Время Выполнения</t>
  </si>
  <si>
    <t>СведенияОНаправленияхНаВыплату Тип Направления на Выплату</t>
  </si>
  <si>
    <t>НаправлениеНаВыплату Категория Риска AML</t>
  </si>
  <si>
    <t>[ЗадачаАдминистратораКредитов ID]</t>
  </si>
  <si>
    <t>[Задачи.ЗадачаАдминистратораКредитов]</t>
  </si>
  <si>
    <t>[ЗадачаАдминистратораКредитов Пометка Удаления]</t>
  </si>
  <si>
    <t>[ЗадачаАдминистратораКредитов Дата]</t>
  </si>
  <si>
    <t>[ЗадачаАдминистратораКредитов Номер]</t>
  </si>
  <si>
    <t>[ЗадачаАдминистратораКредитов Выполнена]</t>
  </si>
  <si>
    <t>[ЗадачаАдминистратораКредитов Автор ID]</t>
  </si>
  <si>
    <t>[ЗадачаАдминистратораКредитов Автор]</t>
  </si>
  <si>
    <t>[ЗадачаАдминистратораКредитов Филиал ID]</t>
  </si>
  <si>
    <t>[ЗадачаАдминистратораКредитов Филиал]</t>
  </si>
  <si>
    <t>[ЗадачаАдминистратораКредитов Категория Задачи ID]</t>
  </si>
  <si>
    <t>[ЗадачаАдминистратораКредитов Категория Задачи]</t>
  </si>
  <si>
    <t>[ЗадачаАдминистратораКредитов Тип Задачи ID]</t>
  </si>
  <si>
    <t>[ЗадачаАдминистратораКредитов Тип Задачи]</t>
  </si>
  <si>
    <t>[ЗадачаАдминистратораКредитов Описание Задачи]</t>
  </si>
  <si>
    <t>[ЗадачаАдминистратораКредитов Задача Основание ID]</t>
  </si>
  <si>
    <t>[ЗадачаАдминистратораКредитов Источник Тип]</t>
  </si>
  <si>
    <t>[ЗадачаАдминистратораКредитов Источник Вид]</t>
  </si>
  <si>
    <t>[ЗадачаАдминистратораКредитов Источник ID]</t>
  </si>
  <si>
    <t>[ЗадачаАдминистратораКредитов Клиент ID]</t>
  </si>
  <si>
    <t>[ЗадачаАдминистратораКредитов Клиент]</t>
  </si>
  <si>
    <t>[ЗадачаАдминистратораКредитов Кредит ID]</t>
  </si>
  <si>
    <t>[ЗадачаАдминистратораКредитов Кредит]</t>
  </si>
  <si>
    <t>[ЗадачаАдминистратораКредитов Лимит ID]</t>
  </si>
  <si>
    <t>[ЗадачаАдминистратораКредитов Лимит]</t>
  </si>
  <si>
    <t>[ЗадачаАдминистратораКредитов.ИсторияСтатусов Статус]</t>
  </si>
  <si>
    <t>[ЗадачаАдминистратораКредитов.ИсторияСтатусов Статус ID]</t>
  </si>
  <si>
    <t>[ЗадачаАдминистратораКредитов Дата Выполнения]</t>
  </si>
  <si>
    <t>[ЗадачаАдминистратораКредитов Текущий Комментарий]</t>
  </si>
  <si>
    <t>[ТипыЗадачАдминистратораКредитов_ИсторияПоказателей SLA]</t>
  </si>
  <si>
    <t xml:space="preserve">[ТипыЗадачАдминистратораКредитов_ИсторияПоказателей KPI] </t>
  </si>
  <si>
    <t>[ЗадачаАдминистратораКредитов Количество Задач]</t>
  </si>
  <si>
    <t>[ЗадачаАдминистратораКредитов Приоритет Задачи]</t>
  </si>
  <si>
    <t>[ЗадачаАдминистратораКредитов Приоритет Задачи ID]</t>
  </si>
  <si>
    <t>[ЗадачаАдминистратораКредитов Исполнитель]</t>
  </si>
  <si>
    <t>[ТипыЗадачАдминистратораКредитов Пометка Удаления]</t>
  </si>
  <si>
    <t>[ТипыЗадачАдминистратораКредитов Родитель ID]</t>
  </si>
  <si>
    <t>[ТипыЗадачАдминистратораКредитов Это Группа]</t>
  </si>
  <si>
    <t>[ТипыЗадачАдминистратораКредитов Код]</t>
  </si>
  <si>
    <t>[ТипыЗадачАдминистратораКредитов Наименование]</t>
  </si>
  <si>
    <t xml:space="preserve">[ТипыЗадачАдминистратораКредитов Реквизит Доп Упорядочивания] </t>
  </si>
  <si>
    <t>[ТипыЗадачАдминистратораКредитов_ИсторияПоказателей KPI]</t>
  </si>
  <si>
    <t>[ТипыЗадачАдминистратораКредитов Запрет Редактирования Количества Задач]</t>
  </si>
  <si>
    <t>[ТипыЗадачАдминистратораКредитов_ИсторияПоказателей Максимальное Время Выполнения]</t>
  </si>
  <si>
    <t>[ЗадачаАдминистратораКредитов.ИсторияСтатусов ID]</t>
  </si>
  <si>
    <t>[ЗадачаАдминистратораКредитов.ИсторияСтатусов Номер Строки]</t>
  </si>
  <si>
    <t>[ЗадачаАдминистратораКредитов.ИсторияСтатусов Пользователь ID]</t>
  </si>
  <si>
    <t>[ЗадачаАдминистратораКредитов.ИсторияСтатусов Пользователь]</t>
  </si>
  <si>
    <t>[ЗадачаАдминистратораКредитов.ИсторияСтатусов Дата Начала]</t>
  </si>
  <si>
    <t>[ЗадачаАдминистратораКредитов.ИсторияСтатусов Дата Окончания]</t>
  </si>
  <si>
    <t>[ЗадачаАдминистратораКредитов.ИсторияСтатусов Комментарий]</t>
  </si>
  <si>
    <t>[ЗадачаАдминистратораКредитов.ИсторияСтатусов Время в Секундах]</t>
  </si>
  <si>
    <t>[СведенияОНаправленияхНаВыплату Направление на Выплату ID]</t>
  </si>
  <si>
    <t>[СведенияОНаправленияхНаВыплату Направление на Выплату]</t>
  </si>
  <si>
    <t>[СведенияОНаправленияхНаВыплату SLA]</t>
  </si>
  <si>
    <t>[СведенияОНаправленияхНаВыплату Максимальное Время Выполнения]</t>
  </si>
  <si>
    <t>[СведенияОНаправленияхНаВыплату Дата Создания]</t>
  </si>
  <si>
    <t>[СведенияОНаправленияхНаВыплату Дата Взятия в Работу]</t>
  </si>
  <si>
    <t>[СведенияОНаправленияхНаВыплату Дата Утверждения]</t>
  </si>
  <si>
    <t>[СведенияОНаправленияхНаВыплату Дата Пометки Удаления]</t>
  </si>
  <si>
    <t>[СведенияОНаправленияхНаВыплату Тип Направления на Выплату ID]</t>
  </si>
  <si>
    <t>[СведенияОНаправленияхНаВыплату Тип Направления на Выплату]</t>
  </si>
  <si>
    <t>[НаправлениеНаВыплату ID]</t>
  </si>
  <si>
    <t>[НаправлениеНаВыплату Категория Риска AML]</t>
  </si>
  <si>
    <t>[ТипыЗадачАдминистратораКредитов_ИсторияПоказателей]</t>
  </si>
  <si>
    <t>[РегистрыСведений.СведенияОНаправленияхНаВыплату]</t>
  </si>
  <si>
    <t>[Документы.НаправлениеНаВыплату]</t>
  </si>
  <si>
    <t>mis.Gold_Fact_ArchiveDocument</t>
  </si>
  <si>
    <t>АктыПередачиКредитныхДел Период</t>
  </si>
  <si>
    <t xml:space="preserve">АктыПередачиКредитныхДел ID              </t>
  </si>
  <si>
    <t xml:space="preserve">АктыПередачиКредитныхДел Номер Строки    </t>
  </si>
  <si>
    <t>ОтветственныеПоКредитнымДелам Ссылка на Документ</t>
  </si>
  <si>
    <t xml:space="preserve">АктыПередачиКредитныхДел Кредит Tип      </t>
  </si>
  <si>
    <t xml:space="preserve">АктыПередачиКредитныхДел Кредит Вид      </t>
  </si>
  <si>
    <t xml:space="preserve">АктыПередачиКредитныхДел Кредит ID       </t>
  </si>
  <si>
    <t xml:space="preserve">АктыПередачиКредитныхДел Контрагент ID   </t>
  </si>
  <si>
    <t xml:space="preserve">АктыПередачиКредитныхДел Контрагент      </t>
  </si>
  <si>
    <t xml:space="preserve">АктыПередачиКредитныхДел Вид Акта        </t>
  </si>
  <si>
    <t xml:space="preserve">АктыПередачиКредитныхДел Вид Операции Tип  </t>
  </si>
  <si>
    <t xml:space="preserve">АктыПередачиКредитныхДел Вид Операции Вид  </t>
  </si>
  <si>
    <t xml:space="preserve">АктыПередачиКредитныхДел Вид Операции ID  </t>
  </si>
  <si>
    <t xml:space="preserve">АктыПередачиКредитныхДел Вид Операции Документ Tип  </t>
  </si>
  <si>
    <t xml:space="preserve">АктыПередачиКредитныхДел Вид Операции Документ Вид  </t>
  </si>
  <si>
    <t xml:space="preserve">АктыПередачиКредитныхДел Вид Операции Документ ID  </t>
  </si>
  <si>
    <t xml:space="preserve">АктыПередачиКредитныхДел Вид Акта Передачи Кредитных Дел  </t>
  </si>
  <si>
    <t xml:space="preserve">АктыПередачиКредитныхДел Статус Досье  </t>
  </si>
  <si>
    <t xml:space="preserve">АктыПередачиКредитныхДел Статус Акта  </t>
  </si>
  <si>
    <t xml:space="preserve">АктыПередачиКредитныхДел Получатель Tип  </t>
  </si>
  <si>
    <t xml:space="preserve">АктыПередачиКредитныхДел Получатель Вид  </t>
  </si>
  <si>
    <t xml:space="preserve">АктыПередачиКредитныхДел Получатель ID  </t>
  </si>
  <si>
    <t xml:space="preserve">АктыПередачиКредитныхДел Дата Получения  </t>
  </si>
  <si>
    <t xml:space="preserve">АктыПередачиКредитныхДел Дата Проверки  </t>
  </si>
  <si>
    <t xml:space="preserve">АктыПередачиКредитныхДел Комментарий  </t>
  </si>
  <si>
    <t xml:space="preserve">АктыПередачиКредитныхДел Автор ID  </t>
  </si>
  <si>
    <t xml:space="preserve">АктыПередачиКредитныхДел Автор  </t>
  </si>
  <si>
    <t xml:space="preserve">АктыПередачиКредитныхДел Дедлайн  </t>
  </si>
  <si>
    <t xml:space="preserve">ОтветственныеПоКредитнымДелам Период  </t>
  </si>
  <si>
    <t xml:space="preserve">ОтветственныеПоКредитнымДелам ID  </t>
  </si>
  <si>
    <t xml:space="preserve">ОтветственныеПоКредитнымДелам Номер Строки  </t>
  </si>
  <si>
    <t xml:space="preserve">ОтветственныеПоКредитнымДелам Активность  </t>
  </si>
  <si>
    <t xml:space="preserve">ОтветственныеПоКредитнымДелам Кредит Tип  </t>
  </si>
  <si>
    <t xml:space="preserve">ОтветственныеПоКредитнымДелам Кредит Вид  </t>
  </si>
  <si>
    <t xml:space="preserve">ОтветственныеПоКредитнымДелам Кредит ID  </t>
  </si>
  <si>
    <t xml:space="preserve">ОтветственныеПоКредитнымДелам Ответственный Tип  </t>
  </si>
  <si>
    <t xml:space="preserve">ОтветственныеПоКредитнымДелам Ответственный Вид  </t>
  </si>
  <si>
    <t xml:space="preserve">ОтветственныеПоКредитнымДелам Ответственный ID  </t>
  </si>
  <si>
    <t xml:space="preserve">ОтветственныеПоКредитнымДелам Дата Проверки  </t>
  </si>
  <si>
    <t xml:space="preserve">ОтветственныеПоКредитнымДелам Комментарий  </t>
  </si>
  <si>
    <t xml:space="preserve">ОтветственныеПоКредитнымДелам Филиал ID  </t>
  </si>
  <si>
    <t xml:space="preserve">ОтветственныеПоКредитнымДелам Филиал  </t>
  </si>
  <si>
    <t xml:space="preserve">ОтветственныеПоКредитнымДелам Вид Акта Передачи Кредитных Дел  </t>
  </si>
  <si>
    <t xml:space="preserve">ОтветственныеПоКредитнымДелам Отправитель ID  </t>
  </si>
  <si>
    <t>ОтветственныеПоКредитнымДелам Отправитель</t>
  </si>
  <si>
    <t xml:space="preserve">ОтветственныеПоКредитнымДелам Ссылка на Документ ID  </t>
  </si>
  <si>
    <t xml:space="preserve">ОтветственныеПоКредитнымДелам Статус Акта  </t>
  </si>
  <si>
    <t>ОтветственныеПоКредитнымДелам Телефон</t>
  </si>
  <si>
    <t>АктыПередачиКредитныхДел Активность</t>
  </si>
  <si>
    <t>CreditHistoryType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</si>
</sst>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/>
    <xf numFmtId="0" fontId="3" fillId="2" borderId="1" xfId="0" applyFont="1" applyFill="1" applyBorder="1"/>
    <xf numFmtId="0" fontId="0" fillId="0" borderId="2" xfId="0" applyBorder="1"/>
    <xf numFmtId="0" fontId="1" fillId="0" borderId="2" xfId="0" applyFont="1" applyBorder="1"/>
    <xf numFmtId="0" fontId="4" fillId="2" borderId="3" xfId="0" applyFont="1" applyFill="1" applyBorder="1"/>
    <xf numFmtId="0" fontId="0" fillId="2" borderId="0" xfId="0" applyFill="1"/>
    <xf numFmtId="0" fontId="0" fillId="0" borderId="4" xfId="0" applyBorder="1"/>
    <xf numFmtId="0" fontId="2" fillId="0" borderId="5" xfId="0" applyFont="1" applyBorder="1"/>
    <xf numFmtId="0" fontId="7" fillId="2" borderId="6" xfId="0" applyFont="1" applyFill="1" applyBorder="1"/>
    <xf numFmtId="0" fontId="2" fillId="0" borderId="7" xfId="0" applyFont="1" applyBorder="1"/>
    <xf numFmtId="0" fontId="3" fillId="2" borderId="3" xfId="0" applyFont="1" applyFill="1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3" fillId="2" borderId="9" xfId="0" applyFont="1" applyFill="1" applyBorder="1"/>
    <xf numFmtId="0" fontId="0" fillId="0" borderId="10" xfId="0" applyBorder="1"/>
    <xf numFmtId="0" fontId="0" fillId="2" borderId="10" xfId="0" applyFill="1" applyBorder="1"/>
    <xf numFmtId="0" fontId="5" fillId="0" borderId="10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3" fillId="0" borderId="10" xfId="0" applyFont="1" applyBorder="1"/>
    <xf numFmtId="0" fontId="8" fillId="3" borderId="11" xfId="0" applyFont="1" applyFill="1" applyBorder="1"/>
    <xf numFmtId="0" fontId="0" fillId="0" borderId="13" xfId="0" applyBorder="1"/>
    <xf numFmtId="0" fontId="4" fillId="2" borderId="14" xfId="0" applyFont="1" applyFill="1" applyBorder="1"/>
    <xf numFmtId="0" fontId="9" fillId="0" borderId="0" xfId="0" applyFont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2" borderId="15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0" fillId="0" borderId="15" xfId="0" applyBorder="1"/>
    <xf numFmtId="0" fontId="0" fillId="0" borderId="17" xfId="0" applyBorder="1"/>
    <xf numFmtId="0" fontId="3" fillId="0" borderId="18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0" fillId="0" borderId="16" xfId="0" applyBorder="1"/>
    <xf numFmtId="0" fontId="4" fillId="2" borderId="15" xfId="0" applyFont="1" applyFill="1" applyBorder="1"/>
    <xf numFmtId="0" fontId="0" fillId="0" borderId="19" xfId="0" applyBorder="1"/>
    <xf numFmtId="0" fontId="0" fillId="0" borderId="20" xfId="0" applyBorder="1"/>
    <xf numFmtId="0" fontId="3" fillId="0" borderId="21" xfId="0" applyFont="1" applyBorder="1"/>
    <xf numFmtId="0" fontId="0" fillId="0" borderId="12" xfId="0" applyBorder="1"/>
    <xf numFmtId="0" fontId="7" fillId="0" borderId="22" xfId="0" applyFont="1" applyBorder="1"/>
    <xf numFmtId="0" fontId="9" fillId="0" borderId="1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/>
  </cellXfs>
  <cellStyles count="1">
    <cellStyle name="Normal" xfId="0" builtinId="0"/>
  </cellStyles>
  <dxfs count="1">
    <dxf>
      <font>
        <b/>
        <i/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"/>
  <sheetViews>
    <sheetView showGridLines="0" tabSelected="1" zoomScale="85" zoomScaleNormal="85" zoomScaleSheetLayoutView="205" workbookViewId="0">
      <pane ySplit="1" topLeftCell="A297" activePane="bottomLeft" state="frozen"/>
      <selection pane="bottomLeft" activeCell="E104" sqref="E104:E107"/>
    </sheetView>
  </sheetViews>
  <sheetFormatPr defaultRowHeight="15" x14ac:dyDescent="0.25"/>
  <cols>
    <col min="1" max="1" width="44.140625" customWidth="1"/>
    <col min="2" max="2" width="81.28515625" style="6" customWidth="1"/>
    <col min="3" max="3" width="74.140625" customWidth="1"/>
    <col min="4" max="4" width="33.5703125" customWidth="1"/>
    <col min="5" max="5" width="40.7109375" customWidth="1"/>
    <col min="6" max="6" width="31" customWidth="1"/>
  </cols>
  <sheetData>
    <row r="1" spans="1:5" x14ac:dyDescent="0.25">
      <c r="A1" s="8" t="s">
        <v>7</v>
      </c>
      <c r="B1" s="9" t="s">
        <v>363</v>
      </c>
      <c r="C1" s="44" t="s">
        <v>64</v>
      </c>
      <c r="D1" s="45" t="s">
        <v>450</v>
      </c>
      <c r="E1" s="43" t="s">
        <v>449</v>
      </c>
    </row>
    <row r="2" spans="1:5" x14ac:dyDescent="0.25">
      <c r="A2" s="22" t="s">
        <v>364</v>
      </c>
      <c r="B2" s="17"/>
      <c r="C2" s="18"/>
      <c r="D2" s="25"/>
    </row>
    <row r="3" spans="1:5" x14ac:dyDescent="0.25">
      <c r="A3" s="12"/>
      <c r="B3" s="5" t="s">
        <v>405</v>
      </c>
      <c r="C3" s="26"/>
      <c r="D3" s="46"/>
      <c r="E3" s="40" t="str">
        <f>IF(C3&gt;0,IF(D3&gt;0,D3, C3)," ")</f>
        <v xml:space="preserve"> </v>
      </c>
    </row>
    <row r="4" spans="1:5" x14ac:dyDescent="0.25">
      <c r="A4" s="3"/>
      <c r="B4" s="2" t="s">
        <v>227</v>
      </c>
      <c r="C4" s="27" t="s">
        <v>231</v>
      </c>
      <c r="D4" s="47"/>
      <c r="E4" s="41" t="str">
        <f t="shared" ref="E4:E67" si="0">IF(C4&gt;0,IF(D4&gt;0,D4, C4)," ")</f>
        <v>App_User_ClientID</v>
      </c>
    </row>
    <row r="5" spans="1:5" x14ac:dyDescent="0.25">
      <c r="A5" s="3"/>
      <c r="B5" s="2" t="s">
        <v>228</v>
      </c>
      <c r="C5" s="27" t="s">
        <v>232</v>
      </c>
      <c r="D5" s="47"/>
      <c r="E5" s="41" t="str">
        <f t="shared" si="0"/>
        <v>App_User_UserID</v>
      </c>
    </row>
    <row r="6" spans="1:5" x14ac:dyDescent="0.25">
      <c r="A6" s="3"/>
      <c r="B6" s="2" t="s">
        <v>229</v>
      </c>
      <c r="C6" s="27" t="s">
        <v>233</v>
      </c>
      <c r="D6" s="47"/>
      <c r="E6" s="41" t="str">
        <f t="shared" si="0"/>
        <v>App_User_Phone</v>
      </c>
    </row>
    <row r="7" spans="1:5" x14ac:dyDescent="0.25">
      <c r="A7" s="3"/>
      <c r="B7" s="2" t="s">
        <v>230</v>
      </c>
      <c r="C7" s="27" t="s">
        <v>234</v>
      </c>
      <c r="D7" s="47"/>
      <c r="E7" s="41" t="str">
        <f t="shared" si="0"/>
        <v>App_User_FiscalCode</v>
      </c>
    </row>
    <row r="8" spans="1:5" x14ac:dyDescent="0.25">
      <c r="A8" s="3"/>
      <c r="B8" s="2" t="s">
        <v>226</v>
      </c>
      <c r="C8" s="27" t="s">
        <v>235</v>
      </c>
      <c r="D8" s="47"/>
      <c r="E8" s="41" t="str">
        <f t="shared" si="0"/>
        <v>App_User_ClientName</v>
      </c>
    </row>
    <row r="9" spans="1:5" x14ac:dyDescent="0.25">
      <c r="A9" s="13"/>
      <c r="B9" s="15"/>
      <c r="C9" s="28"/>
      <c r="D9" s="47"/>
      <c r="E9" s="41" t="str">
        <f t="shared" si="0"/>
        <v xml:space="preserve"> </v>
      </c>
    </row>
    <row r="10" spans="1:5" x14ac:dyDescent="0.25">
      <c r="A10" s="22" t="s">
        <v>365</v>
      </c>
      <c r="B10" s="17"/>
      <c r="C10" s="20"/>
      <c r="D10" s="47"/>
      <c r="E10" s="41" t="str">
        <f t="shared" si="0"/>
        <v xml:space="preserve"> </v>
      </c>
    </row>
    <row r="11" spans="1:5" x14ac:dyDescent="0.25">
      <c r="A11" s="10"/>
      <c r="B11" s="5" t="s">
        <v>406</v>
      </c>
      <c r="C11" s="29"/>
      <c r="D11" s="47"/>
      <c r="E11" s="41" t="str">
        <f t="shared" si="0"/>
        <v xml:space="preserve"> </v>
      </c>
    </row>
    <row r="12" spans="1:5" x14ac:dyDescent="0.25">
      <c r="A12" s="10"/>
      <c r="B12" s="11" t="s">
        <v>99</v>
      </c>
      <c r="C12" s="29" t="s">
        <v>10</v>
      </c>
      <c r="D12" s="47"/>
      <c r="E12" s="41" t="str">
        <f t="shared" si="0"/>
        <v>BranchID</v>
      </c>
    </row>
    <row r="13" spans="1:5" x14ac:dyDescent="0.25">
      <c r="A13" s="3"/>
      <c r="B13" s="2" t="s">
        <v>112</v>
      </c>
      <c r="C13" s="27" t="s">
        <v>0</v>
      </c>
      <c r="D13" s="47"/>
      <c r="E13" s="41" t="str">
        <f t="shared" si="0"/>
        <v>BranchCode</v>
      </c>
    </row>
    <row r="14" spans="1:5" x14ac:dyDescent="0.25">
      <c r="A14" s="3"/>
      <c r="B14" s="2" t="s">
        <v>100</v>
      </c>
      <c r="C14" s="27" t="s">
        <v>1</v>
      </c>
      <c r="D14" s="47"/>
      <c r="E14" s="41" t="str">
        <f t="shared" si="0"/>
        <v>BranchName</v>
      </c>
    </row>
    <row r="15" spans="1:5" x14ac:dyDescent="0.25">
      <c r="A15" s="3"/>
      <c r="B15" s="2" t="s">
        <v>101</v>
      </c>
      <c r="C15" s="27" t="s">
        <v>113</v>
      </c>
      <c r="D15" s="47"/>
      <c r="E15" s="41" t="str">
        <f t="shared" si="0"/>
        <v>DistrictName</v>
      </c>
    </row>
    <row r="16" spans="1:5" ht="15.75" x14ac:dyDescent="0.25">
      <c r="A16" s="4"/>
      <c r="B16" s="2" t="s">
        <v>102</v>
      </c>
      <c r="C16" s="27" t="s">
        <v>114</v>
      </c>
      <c r="D16" s="47"/>
      <c r="E16" s="41" t="str">
        <f t="shared" si="0"/>
        <v>ActivityType</v>
      </c>
    </row>
    <row r="17" spans="1:5" x14ac:dyDescent="0.25">
      <c r="A17" s="3"/>
      <c r="B17" s="2" t="s">
        <v>103</v>
      </c>
      <c r="C17" s="27" t="s">
        <v>2</v>
      </c>
      <c r="D17" s="47"/>
      <c r="E17" s="41" t="str">
        <f t="shared" si="0"/>
        <v>EFSERegion</v>
      </c>
    </row>
    <row r="18" spans="1:5" x14ac:dyDescent="0.25">
      <c r="A18" s="3"/>
      <c r="B18" s="2" t="s">
        <v>104</v>
      </c>
      <c r="C18" s="27" t="s">
        <v>115</v>
      </c>
      <c r="D18" s="47"/>
      <c r="E18" s="41" t="str">
        <f t="shared" si="0"/>
        <v>Address</v>
      </c>
    </row>
    <row r="19" spans="1:5" x14ac:dyDescent="0.25">
      <c r="A19" s="3"/>
      <c r="B19" s="2" t="s">
        <v>105</v>
      </c>
      <c r="C19" s="27" t="s">
        <v>3</v>
      </c>
      <c r="D19" s="47"/>
      <c r="E19" s="41" t="str">
        <f t="shared" si="0"/>
        <v>Phones</v>
      </c>
    </row>
    <row r="20" spans="1:5" x14ac:dyDescent="0.25">
      <c r="A20" s="3"/>
      <c r="B20" s="2" t="s">
        <v>106</v>
      </c>
      <c r="C20" s="27" t="s">
        <v>116</v>
      </c>
      <c r="D20" s="47"/>
      <c r="E20" s="41" t="str">
        <f t="shared" si="0"/>
        <v>Email</v>
      </c>
    </row>
    <row r="21" spans="1:5" x14ac:dyDescent="0.25">
      <c r="A21" s="3"/>
      <c r="B21" s="2" t="s">
        <v>107</v>
      </c>
      <c r="C21" s="27" t="s">
        <v>4</v>
      </c>
      <c r="D21" s="47"/>
      <c r="E21" s="41" t="str">
        <f t="shared" si="0"/>
        <v>PrintBranchName</v>
      </c>
    </row>
    <row r="22" spans="1:5" x14ac:dyDescent="0.25">
      <c r="A22" s="3"/>
      <c r="B22" s="2" t="s">
        <v>108</v>
      </c>
      <c r="C22" s="27" t="s">
        <v>117</v>
      </c>
      <c r="D22" s="47"/>
      <c r="E22" s="41" t="str">
        <f t="shared" si="0"/>
        <v>Latitude</v>
      </c>
    </row>
    <row r="23" spans="1:5" x14ac:dyDescent="0.25">
      <c r="A23" s="3"/>
      <c r="B23" s="2" t="s">
        <v>109</v>
      </c>
      <c r="C23" s="27" t="s">
        <v>118</v>
      </c>
      <c r="D23" s="47"/>
      <c r="E23" s="41" t="str">
        <f t="shared" si="0"/>
        <v>Longitude</v>
      </c>
    </row>
    <row r="24" spans="1:5" x14ac:dyDescent="0.25">
      <c r="A24" s="3"/>
      <c r="B24" s="2"/>
      <c r="C24" s="27"/>
      <c r="D24" s="47"/>
      <c r="E24" s="41" t="str">
        <f t="shared" si="0"/>
        <v xml:space="preserve"> </v>
      </c>
    </row>
    <row r="25" spans="1:5" x14ac:dyDescent="0.25">
      <c r="A25" s="3"/>
      <c r="B25" s="1" t="s">
        <v>408</v>
      </c>
      <c r="C25" s="30"/>
      <c r="D25" s="47"/>
      <c r="E25" s="41" t="str">
        <f t="shared" si="0"/>
        <v xml:space="preserve"> </v>
      </c>
    </row>
    <row r="26" spans="1:5" x14ac:dyDescent="0.25">
      <c r="A26" s="3"/>
      <c r="B26" s="2" t="s">
        <v>110</v>
      </c>
      <c r="C26" s="27" t="s">
        <v>34</v>
      </c>
      <c r="D26" s="47"/>
      <c r="E26" s="41" t="str">
        <f t="shared" si="0"/>
        <v>BranchDepartment</v>
      </c>
    </row>
    <row r="27" spans="1:5" x14ac:dyDescent="0.25">
      <c r="A27" s="3"/>
      <c r="B27" s="2" t="s">
        <v>366</v>
      </c>
      <c r="C27" s="27" t="s">
        <v>368</v>
      </c>
      <c r="D27" s="47"/>
      <c r="E27" s="41" t="str">
        <f t="shared" si="0"/>
        <v>BranchDepartmentID</v>
      </c>
    </row>
    <row r="28" spans="1:5" x14ac:dyDescent="0.25">
      <c r="A28" s="3"/>
      <c r="B28" s="2" t="s">
        <v>111</v>
      </c>
      <c r="C28" s="27" t="s">
        <v>6</v>
      </c>
      <c r="D28" s="47"/>
      <c r="E28" s="41" t="str">
        <f t="shared" si="0"/>
        <v>BranchRegion</v>
      </c>
    </row>
    <row r="29" spans="1:5" x14ac:dyDescent="0.25">
      <c r="A29" s="3"/>
      <c r="B29" s="2" t="s">
        <v>367</v>
      </c>
      <c r="C29" s="27" t="s">
        <v>369</v>
      </c>
      <c r="D29" s="47"/>
      <c r="E29" s="41" t="str">
        <f t="shared" si="0"/>
        <v>BranchRegionID</v>
      </c>
    </row>
    <row r="30" spans="1:5" x14ac:dyDescent="0.25">
      <c r="A30" s="13"/>
      <c r="B30" s="19"/>
      <c r="C30" s="31"/>
      <c r="D30" s="47"/>
      <c r="E30" s="41" t="str">
        <f t="shared" si="0"/>
        <v xml:space="preserve"> </v>
      </c>
    </row>
    <row r="31" spans="1:5" x14ac:dyDescent="0.25">
      <c r="A31" s="22" t="s">
        <v>370</v>
      </c>
      <c r="B31" s="20"/>
      <c r="C31" s="20"/>
      <c r="D31" s="47"/>
      <c r="E31" s="41" t="str">
        <f t="shared" si="0"/>
        <v xml:space="preserve"> </v>
      </c>
    </row>
    <row r="32" spans="1:5" s="6" customFormat="1" x14ac:dyDescent="0.25">
      <c r="A32" s="12"/>
      <c r="B32" s="5" t="s">
        <v>407</v>
      </c>
      <c r="C32" s="26"/>
      <c r="D32" s="47"/>
      <c r="E32" s="41" t="str">
        <f t="shared" si="0"/>
        <v xml:space="preserve"> </v>
      </c>
    </row>
    <row r="33" spans="1:5" x14ac:dyDescent="0.25">
      <c r="A33" s="12"/>
      <c r="B33" s="11" t="s">
        <v>143</v>
      </c>
      <c r="C33" s="26" t="s">
        <v>8</v>
      </c>
      <c r="D33" s="47"/>
      <c r="E33" s="41" t="str">
        <f t="shared" si="0"/>
        <v>ClientID</v>
      </c>
    </row>
    <row r="34" spans="1:5" x14ac:dyDescent="0.25">
      <c r="A34" s="3"/>
      <c r="B34" s="2" t="s">
        <v>144</v>
      </c>
      <c r="C34" s="27" t="s">
        <v>9</v>
      </c>
      <c r="D34" s="47"/>
      <c r="E34" s="41" t="str">
        <f t="shared" si="0"/>
        <v>ParentID</v>
      </c>
    </row>
    <row r="35" spans="1:5" x14ac:dyDescent="0.25">
      <c r="A35" s="3"/>
      <c r="B35" s="2" t="s">
        <v>145</v>
      </c>
      <c r="C35" s="27" t="s">
        <v>10</v>
      </c>
      <c r="D35" s="47"/>
      <c r="E35" s="41" t="str">
        <f t="shared" si="0"/>
        <v>BranchID</v>
      </c>
    </row>
    <row r="36" spans="1:5" x14ac:dyDescent="0.25">
      <c r="A36" s="3"/>
      <c r="B36" s="2" t="s">
        <v>146</v>
      </c>
      <c r="C36" s="27" t="s">
        <v>11</v>
      </c>
      <c r="D36" s="47"/>
      <c r="E36" s="41" t="str">
        <f t="shared" si="0"/>
        <v>IsDeleted</v>
      </c>
    </row>
    <row r="37" spans="1:5" x14ac:dyDescent="0.25">
      <c r="A37" s="3"/>
      <c r="B37" s="2" t="s">
        <v>147</v>
      </c>
      <c r="C37" s="27" t="s">
        <v>12</v>
      </c>
      <c r="D37" s="47"/>
      <c r="E37" s="41" t="str">
        <f t="shared" si="0"/>
        <v>IsGroup</v>
      </c>
    </row>
    <row r="38" spans="1:5" x14ac:dyDescent="0.25">
      <c r="A38" s="3"/>
      <c r="B38" s="2" t="s">
        <v>148</v>
      </c>
      <c r="C38" s="27" t="s">
        <v>13</v>
      </c>
      <c r="D38" s="47"/>
      <c r="E38" s="41" t="str">
        <f t="shared" si="0"/>
        <v>ClientCode</v>
      </c>
    </row>
    <row r="39" spans="1:5" x14ac:dyDescent="0.25">
      <c r="A39" s="3"/>
      <c r="B39" s="2" t="s">
        <v>149</v>
      </c>
      <c r="C39" s="27" t="s">
        <v>14</v>
      </c>
      <c r="D39" s="47"/>
      <c r="E39" s="41" t="str">
        <f t="shared" si="0"/>
        <v>ClientName</v>
      </c>
    </row>
    <row r="40" spans="1:5" x14ac:dyDescent="0.25">
      <c r="A40" s="3"/>
      <c r="B40" s="2" t="s">
        <v>150</v>
      </c>
      <c r="C40" s="27" t="s">
        <v>15</v>
      </c>
      <c r="D40" s="47"/>
      <c r="E40" s="41" t="str">
        <f t="shared" si="0"/>
        <v>IsBlocked</v>
      </c>
    </row>
    <row r="41" spans="1:5" x14ac:dyDescent="0.25">
      <c r="A41" s="3"/>
      <c r="B41" s="2" t="s">
        <v>151</v>
      </c>
      <c r="C41" s="27" t="s">
        <v>16</v>
      </c>
      <c r="D41" s="47"/>
      <c r="E41" s="41" t="str">
        <f t="shared" si="0"/>
        <v>Visibility</v>
      </c>
    </row>
    <row r="42" spans="1:5" x14ac:dyDescent="0.25">
      <c r="A42" s="3"/>
      <c r="B42" s="2" t="s">
        <v>152</v>
      </c>
      <c r="C42" s="27" t="s">
        <v>17</v>
      </c>
      <c r="D42" s="47"/>
      <c r="E42" s="41" t="str">
        <f t="shared" si="0"/>
        <v>Age</v>
      </c>
    </row>
    <row r="43" spans="1:5" x14ac:dyDescent="0.25">
      <c r="A43" s="3"/>
      <c r="B43" s="2" t="s">
        <v>236</v>
      </c>
      <c r="C43" s="27" t="s">
        <v>5</v>
      </c>
      <c r="D43" s="47"/>
      <c r="E43" s="41" t="str">
        <f t="shared" si="0"/>
        <v>City</v>
      </c>
    </row>
    <row r="44" spans="1:5" x14ac:dyDescent="0.25">
      <c r="A44" s="3"/>
      <c r="B44" s="2" t="s">
        <v>153</v>
      </c>
      <c r="C44" s="27" t="s">
        <v>25</v>
      </c>
      <c r="D44" s="47"/>
      <c r="E44" s="41" t="str">
        <f t="shared" si="0"/>
        <v>Country</v>
      </c>
    </row>
    <row r="45" spans="1:5" x14ac:dyDescent="0.25">
      <c r="A45" s="3"/>
      <c r="B45" s="2" t="s">
        <v>154</v>
      </c>
      <c r="C45" s="27" t="s">
        <v>18</v>
      </c>
      <c r="D45" s="47"/>
      <c r="E45" s="41" t="str">
        <f t="shared" si="0"/>
        <v>CreatedDate</v>
      </c>
    </row>
    <row r="46" spans="1:5" x14ac:dyDescent="0.25">
      <c r="A46" s="3"/>
      <c r="B46" s="2" t="s">
        <v>155</v>
      </c>
      <c r="C46" s="27" t="s">
        <v>19</v>
      </c>
      <c r="D46" s="47"/>
      <c r="E46" s="41" t="str">
        <f t="shared" si="0"/>
        <v>PartnerCode</v>
      </c>
    </row>
    <row r="47" spans="1:5" x14ac:dyDescent="0.25">
      <c r="A47" s="3"/>
      <c r="B47" s="2" t="s">
        <v>156</v>
      </c>
      <c r="C47" s="27" t="s">
        <v>20</v>
      </c>
      <c r="D47" s="47"/>
      <c r="E47" s="41" t="str">
        <f t="shared" si="0"/>
        <v>FullName</v>
      </c>
    </row>
    <row r="48" spans="1:5" x14ac:dyDescent="0.25">
      <c r="A48" s="3"/>
      <c r="B48" s="2" t="s">
        <v>157</v>
      </c>
      <c r="C48" s="27" t="s">
        <v>21</v>
      </c>
      <c r="D48" s="47"/>
      <c r="E48" s="41" t="str">
        <f t="shared" si="0"/>
        <v>IsNonResident</v>
      </c>
    </row>
    <row r="49" spans="1:5" x14ac:dyDescent="0.25">
      <c r="A49" s="3"/>
      <c r="B49" s="2" t="s">
        <v>158</v>
      </c>
      <c r="C49" s="27" t="s">
        <v>22</v>
      </c>
      <c r="D49" s="47"/>
      <c r="E49" s="41" t="str">
        <f t="shared" si="0"/>
        <v>NoPaymentNotification</v>
      </c>
    </row>
    <row r="50" spans="1:5" x14ac:dyDescent="0.25">
      <c r="A50" s="3"/>
      <c r="B50" s="2" t="s">
        <v>159</v>
      </c>
      <c r="C50" s="27" t="s">
        <v>23</v>
      </c>
      <c r="D50" s="47"/>
      <c r="E50" s="41" t="str">
        <f t="shared" si="0"/>
        <v>Gender</v>
      </c>
    </row>
    <row r="51" spans="1:5" x14ac:dyDescent="0.25">
      <c r="A51" s="3"/>
      <c r="B51" s="2" t="s">
        <v>160</v>
      </c>
      <c r="C51" s="27" t="s">
        <v>24</v>
      </c>
      <c r="D51" s="47"/>
      <c r="E51" s="41" t="str">
        <f t="shared" si="0"/>
        <v>PostalAddress</v>
      </c>
    </row>
    <row r="52" spans="1:5" x14ac:dyDescent="0.25">
      <c r="A52" s="3"/>
      <c r="B52" s="2" t="s">
        <v>161</v>
      </c>
      <c r="C52" s="27" t="s">
        <v>26</v>
      </c>
      <c r="D52" s="47"/>
      <c r="E52" s="41" t="str">
        <f t="shared" si="0"/>
        <v>MobilePhone1</v>
      </c>
    </row>
    <row r="53" spans="1:5" x14ac:dyDescent="0.25">
      <c r="A53" s="3"/>
      <c r="B53" s="2" t="s">
        <v>162</v>
      </c>
      <c r="C53" s="27" t="s">
        <v>27</v>
      </c>
      <c r="D53" s="47"/>
      <c r="E53" s="41" t="str">
        <f t="shared" si="0"/>
        <v>MobilePhone2</v>
      </c>
    </row>
    <row r="54" spans="1:5" x14ac:dyDescent="0.25">
      <c r="A54" s="3"/>
      <c r="B54" s="2" t="s">
        <v>163</v>
      </c>
      <c r="C54" s="27" t="s">
        <v>3</v>
      </c>
      <c r="D54" s="47"/>
      <c r="E54" s="41" t="str">
        <f t="shared" si="0"/>
        <v>Phones</v>
      </c>
    </row>
    <row r="55" spans="1:5" x14ac:dyDescent="0.25">
      <c r="A55" s="3"/>
      <c r="B55" s="2" t="s">
        <v>164</v>
      </c>
      <c r="C55" s="27" t="s">
        <v>28</v>
      </c>
      <c r="D55" s="47"/>
      <c r="E55" s="41" t="str">
        <f t="shared" si="0"/>
        <v>FiscalCode</v>
      </c>
    </row>
    <row r="56" spans="1:5" x14ac:dyDescent="0.25">
      <c r="A56" s="3"/>
      <c r="B56" s="2" t="s">
        <v>165</v>
      </c>
      <c r="C56" s="27" t="s">
        <v>29</v>
      </c>
      <c r="D56" s="47"/>
      <c r="E56" s="41" t="str">
        <f t="shared" si="0"/>
        <v>LegalAddress</v>
      </c>
    </row>
    <row r="57" spans="1:5" x14ac:dyDescent="0.25">
      <c r="A57" s="3"/>
      <c r="B57" s="2" t="s">
        <v>166</v>
      </c>
      <c r="C57" s="27" t="s">
        <v>30</v>
      </c>
      <c r="D57" s="47"/>
      <c r="E57" s="41" t="str">
        <f t="shared" si="0"/>
        <v>RegistrationDate</v>
      </c>
    </row>
    <row r="58" spans="1:5" x14ac:dyDescent="0.25">
      <c r="A58" s="3"/>
      <c r="B58" s="2" t="s">
        <v>167</v>
      </c>
      <c r="C58" s="27" t="s">
        <v>31</v>
      </c>
      <c r="D58" s="47"/>
      <c r="E58" s="41" t="str">
        <f t="shared" si="0"/>
        <v>Language</v>
      </c>
    </row>
    <row r="59" spans="1:5" x14ac:dyDescent="0.25">
      <c r="A59" s="3"/>
      <c r="B59" s="2" t="s">
        <v>168</v>
      </c>
      <c r="C59" s="27" t="s">
        <v>32</v>
      </c>
      <c r="D59" s="47"/>
      <c r="E59" s="41" t="str">
        <f t="shared" si="0"/>
        <v>NoEmailNotifications</v>
      </c>
    </row>
    <row r="60" spans="1:5" x14ac:dyDescent="0.25">
      <c r="A60" s="3"/>
      <c r="B60" s="2" t="s">
        <v>169</v>
      </c>
      <c r="C60" s="27" t="s">
        <v>33</v>
      </c>
      <c r="D60" s="47"/>
      <c r="E60" s="41" t="str">
        <f t="shared" si="0"/>
        <v>NoPromoSMS</v>
      </c>
    </row>
    <row r="61" spans="1:5" x14ac:dyDescent="0.25">
      <c r="A61" s="3"/>
      <c r="B61" s="2" t="s">
        <v>372</v>
      </c>
      <c r="C61" s="27" t="s">
        <v>371</v>
      </c>
      <c r="D61" s="47"/>
      <c r="E61" s="41" t="str">
        <f t="shared" si="0"/>
        <v xml:space="preserve">EconomicSector </v>
      </c>
    </row>
    <row r="62" spans="1:5" x14ac:dyDescent="0.25">
      <c r="A62" s="3"/>
      <c r="B62" s="2"/>
      <c r="C62" s="27"/>
      <c r="D62" s="47"/>
      <c r="E62" s="41" t="str">
        <f t="shared" si="0"/>
        <v xml:space="preserve"> </v>
      </c>
    </row>
    <row r="63" spans="1:5" x14ac:dyDescent="0.25">
      <c r="A63" s="3"/>
      <c r="B63" s="1" t="s">
        <v>409</v>
      </c>
      <c r="C63" s="27"/>
      <c r="D63" s="47"/>
      <c r="E63" s="41" t="str">
        <f t="shared" si="0"/>
        <v xml:space="preserve"> </v>
      </c>
    </row>
    <row r="64" spans="1:5" x14ac:dyDescent="0.25">
      <c r="A64" s="3"/>
      <c r="B64" s="2" t="s">
        <v>237</v>
      </c>
      <c r="C64" s="27" t="s">
        <v>238</v>
      </c>
      <c r="D64" s="47"/>
      <c r="E64" s="41" t="str">
        <f t="shared" si="0"/>
        <v>OrganizationType</v>
      </c>
    </row>
    <row r="65" spans="1:5" x14ac:dyDescent="0.25">
      <c r="A65" s="3"/>
      <c r="B65" s="2"/>
      <c r="C65" s="27"/>
      <c r="D65" s="47"/>
      <c r="E65" s="41" t="str">
        <f t="shared" si="0"/>
        <v xml:space="preserve"> </v>
      </c>
    </row>
    <row r="66" spans="1:5" x14ac:dyDescent="0.25">
      <c r="A66" s="3"/>
      <c r="B66" s="1" t="s">
        <v>410</v>
      </c>
      <c r="C66" s="27"/>
      <c r="D66" s="47"/>
      <c r="E66" s="41" t="str">
        <f t="shared" si="0"/>
        <v xml:space="preserve"> </v>
      </c>
    </row>
    <row r="67" spans="1:5" x14ac:dyDescent="0.25">
      <c r="A67" s="3"/>
      <c r="B67" s="2" t="s">
        <v>373</v>
      </c>
      <c r="C67" s="27" t="s">
        <v>374</v>
      </c>
      <c r="D67" s="47"/>
      <c r="E67" s="41" t="str">
        <f t="shared" si="0"/>
        <v>GroupID</v>
      </c>
    </row>
    <row r="68" spans="1:5" x14ac:dyDescent="0.25">
      <c r="A68" s="3"/>
      <c r="B68" s="2"/>
      <c r="C68" s="27"/>
      <c r="D68" s="47"/>
      <c r="E68" s="41" t="str">
        <f t="shared" ref="E68:E132" si="1">IF(C68&gt;0,IF(D68&gt;0,D68, C68)," ")</f>
        <v xml:space="preserve"> </v>
      </c>
    </row>
    <row r="69" spans="1:5" x14ac:dyDescent="0.25">
      <c r="A69" s="3"/>
      <c r="B69" s="1" t="s">
        <v>411</v>
      </c>
      <c r="D69" s="47"/>
      <c r="E69" s="41" t="str">
        <f t="shared" si="1"/>
        <v xml:space="preserve"> </v>
      </c>
    </row>
    <row r="70" spans="1:5" x14ac:dyDescent="0.25">
      <c r="A70" s="3"/>
      <c r="B70" s="2" t="s">
        <v>378</v>
      </c>
      <c r="C70" s="27" t="s">
        <v>375</v>
      </c>
      <c r="D70" s="47"/>
      <c r="E70" s="41" t="str">
        <f t="shared" si="1"/>
        <v xml:space="preserve">CRM_Status </v>
      </c>
    </row>
    <row r="71" spans="1:5" x14ac:dyDescent="0.25">
      <c r="A71" s="3"/>
      <c r="B71" s="2" t="s">
        <v>379</v>
      </c>
      <c r="C71" s="27" t="s">
        <v>376</v>
      </c>
      <c r="D71" s="47"/>
      <c r="E71" s="41" t="str">
        <f t="shared" si="1"/>
        <v>CRM_ClientType</v>
      </c>
    </row>
    <row r="72" spans="1:5" x14ac:dyDescent="0.25">
      <c r="A72" s="3"/>
      <c r="B72" s="2" t="s">
        <v>380</v>
      </c>
      <c r="C72" s="27" t="s">
        <v>377</v>
      </c>
      <c r="D72" s="47"/>
      <c r="E72" s="41" t="str">
        <f t="shared" si="1"/>
        <v>CRM_Employee</v>
      </c>
    </row>
    <row r="73" spans="1:5" x14ac:dyDescent="0.25">
      <c r="A73" s="3"/>
      <c r="B73" s="2"/>
      <c r="C73" s="27"/>
      <c r="D73" s="47"/>
      <c r="E73" s="41" t="str">
        <f t="shared" si="1"/>
        <v xml:space="preserve"> </v>
      </c>
    </row>
    <row r="74" spans="1:5" x14ac:dyDescent="0.25">
      <c r="A74" s="3"/>
      <c r="B74" s="1" t="s">
        <v>412</v>
      </c>
      <c r="C74" s="27"/>
      <c r="D74" s="47"/>
      <c r="E74" s="41" t="str">
        <f t="shared" si="1"/>
        <v xml:space="preserve"> </v>
      </c>
    </row>
    <row r="75" spans="1:5" x14ac:dyDescent="0.25">
      <c r="A75" s="3"/>
      <c r="B75" s="2" t="s">
        <v>383</v>
      </c>
      <c r="C75" s="27" t="s">
        <v>381</v>
      </c>
      <c r="D75" s="47"/>
      <c r="E75" s="41" t="str">
        <f t="shared" si="1"/>
        <v>ANK_LegalAddress</v>
      </c>
    </row>
    <row r="76" spans="1:5" x14ac:dyDescent="0.25">
      <c r="A76" s="3"/>
      <c r="B76" s="2" t="s">
        <v>384</v>
      </c>
      <c r="C76" s="27" t="s">
        <v>382</v>
      </c>
      <c r="D76" s="47"/>
      <c r="E76" s="41" t="str">
        <f t="shared" si="1"/>
        <v>ANK_ActualAddress</v>
      </c>
    </row>
    <row r="77" spans="1:5" x14ac:dyDescent="0.25">
      <c r="A77" s="13"/>
      <c r="B77" s="15"/>
      <c r="C77" s="28"/>
      <c r="D77" s="47"/>
      <c r="E77" s="41" t="str">
        <f t="shared" si="1"/>
        <v xml:space="preserve"> </v>
      </c>
    </row>
    <row r="78" spans="1:5" x14ac:dyDescent="0.25">
      <c r="A78" s="22" t="s">
        <v>385</v>
      </c>
      <c r="B78" s="20"/>
      <c r="C78" s="20"/>
      <c r="D78" s="47"/>
      <c r="E78" s="41" t="str">
        <f t="shared" si="1"/>
        <v xml:space="preserve"> </v>
      </c>
    </row>
    <row r="79" spans="1:5" s="6" customFormat="1" x14ac:dyDescent="0.25">
      <c r="A79" s="12"/>
      <c r="B79" s="5" t="s">
        <v>413</v>
      </c>
      <c r="C79" s="32"/>
      <c r="D79" s="47"/>
      <c r="E79" s="41" t="str">
        <f t="shared" si="1"/>
        <v xml:space="preserve"> </v>
      </c>
    </row>
    <row r="80" spans="1:5" x14ac:dyDescent="0.25">
      <c r="A80" s="12"/>
      <c r="B80" s="11" t="s">
        <v>119</v>
      </c>
      <c r="C80" s="27" t="s">
        <v>50</v>
      </c>
      <c r="D80" s="47"/>
      <c r="E80" s="41" t="str">
        <f t="shared" si="1"/>
        <v>CreditID</v>
      </c>
    </row>
    <row r="81" spans="1:5" x14ac:dyDescent="0.25">
      <c r="A81" s="3"/>
      <c r="B81" s="2" t="s">
        <v>46</v>
      </c>
      <c r="C81" s="27" t="s">
        <v>337</v>
      </c>
      <c r="D81" s="47"/>
      <c r="E81" s="41" t="str">
        <f t="shared" si="1"/>
        <v>Owner</v>
      </c>
    </row>
    <row r="82" spans="1:5" x14ac:dyDescent="0.25">
      <c r="A82" s="3"/>
      <c r="B82" s="2" t="s">
        <v>120</v>
      </c>
      <c r="C82" s="27" t="s">
        <v>338</v>
      </c>
      <c r="D82" s="47"/>
      <c r="E82" s="41" t="str">
        <f t="shared" si="1"/>
        <v>Code</v>
      </c>
    </row>
    <row r="83" spans="1:5" x14ac:dyDescent="0.25">
      <c r="A83" s="3"/>
      <c r="B83" s="2" t="s">
        <v>121</v>
      </c>
      <c r="C83" s="27" t="s">
        <v>339</v>
      </c>
      <c r="D83" s="47"/>
      <c r="E83" s="41" t="str">
        <f t="shared" si="1"/>
        <v>Name</v>
      </c>
    </row>
    <row r="84" spans="1:5" x14ac:dyDescent="0.25">
      <c r="A84" s="3"/>
      <c r="B84" s="2" t="s">
        <v>122</v>
      </c>
      <c r="C84" s="27" t="s">
        <v>340</v>
      </c>
      <c r="D84" s="47"/>
      <c r="E84" s="41" t="str">
        <f t="shared" si="1"/>
        <v>IssueDate</v>
      </c>
    </row>
    <row r="85" spans="1:5" x14ac:dyDescent="0.25">
      <c r="A85" s="3"/>
      <c r="B85" s="2" t="s">
        <v>123</v>
      </c>
      <c r="C85" s="27" t="s">
        <v>341</v>
      </c>
      <c r="D85" s="47"/>
      <c r="E85" s="41" t="str">
        <f t="shared" si="1"/>
        <v>Term</v>
      </c>
    </row>
    <row r="86" spans="1:5" x14ac:dyDescent="0.25">
      <c r="A86" s="3"/>
      <c r="B86" s="2" t="s">
        <v>124</v>
      </c>
      <c r="C86" s="27" t="s">
        <v>342</v>
      </c>
      <c r="D86" s="47"/>
      <c r="E86" s="41" t="str">
        <f t="shared" si="1"/>
        <v>Amount</v>
      </c>
    </row>
    <row r="87" spans="1:5" x14ac:dyDescent="0.25">
      <c r="A87" s="3"/>
      <c r="B87" s="2" t="s">
        <v>125</v>
      </c>
      <c r="C87" s="27" t="s">
        <v>386</v>
      </c>
      <c r="D87" s="47"/>
      <c r="E87" s="41" t="str">
        <f t="shared" si="1"/>
        <v>EconomicSectorDetailed</v>
      </c>
    </row>
    <row r="88" spans="1:5" x14ac:dyDescent="0.25">
      <c r="A88" s="3"/>
      <c r="B88" s="2" t="s">
        <v>126</v>
      </c>
      <c r="C88" s="27" t="s">
        <v>343</v>
      </c>
      <c r="D88" s="47"/>
      <c r="E88" s="41" t="str">
        <f t="shared" si="1"/>
        <v>FinancialProductID</v>
      </c>
    </row>
    <row r="89" spans="1:5" x14ac:dyDescent="0.25">
      <c r="A89" s="3"/>
      <c r="B89" s="2" t="s">
        <v>127</v>
      </c>
      <c r="C89" s="27" t="s">
        <v>344</v>
      </c>
      <c r="D89" s="47"/>
      <c r="E89" s="41" t="str">
        <f t="shared" si="1"/>
        <v>FinancialProduct</v>
      </c>
    </row>
    <row r="90" spans="1:5" x14ac:dyDescent="0.25">
      <c r="A90" s="3"/>
      <c r="B90" s="2" t="s">
        <v>128</v>
      </c>
      <c r="C90" s="27" t="s">
        <v>387</v>
      </c>
      <c r="D90" s="47"/>
      <c r="E90" s="41" t="str">
        <f t="shared" si="1"/>
        <v>AgroCredit</v>
      </c>
    </row>
    <row r="91" spans="1:5" x14ac:dyDescent="0.25">
      <c r="A91" s="3"/>
      <c r="B91" s="2" t="s">
        <v>129</v>
      </c>
      <c r="C91" s="27" t="s">
        <v>345</v>
      </c>
      <c r="D91" s="47"/>
      <c r="E91" s="41" t="str">
        <f t="shared" si="1"/>
        <v>LocalityType</v>
      </c>
    </row>
    <row r="92" spans="1:5" x14ac:dyDescent="0.25">
      <c r="A92" s="3"/>
      <c r="B92" s="2" t="s">
        <v>130</v>
      </c>
      <c r="C92" s="27" t="s">
        <v>95</v>
      </c>
      <c r="D92" s="47"/>
      <c r="E92" s="41" t="str">
        <f t="shared" si="1"/>
        <v>Currency</v>
      </c>
    </row>
    <row r="93" spans="1:5" x14ac:dyDescent="0.25">
      <c r="A93" s="3"/>
      <c r="B93" s="2" t="s">
        <v>131</v>
      </c>
      <c r="C93" s="27" t="s">
        <v>93</v>
      </c>
      <c r="D93" s="47"/>
      <c r="E93" s="41" t="str">
        <f t="shared" si="1"/>
        <v>ProductID</v>
      </c>
    </row>
    <row r="94" spans="1:5" x14ac:dyDescent="0.25">
      <c r="A94" s="3"/>
      <c r="B94" s="2" t="s">
        <v>132</v>
      </c>
      <c r="C94" s="27" t="s">
        <v>346</v>
      </c>
      <c r="D94" s="47"/>
      <c r="E94" s="41" t="str">
        <f t="shared" si="1"/>
        <v>Product</v>
      </c>
    </row>
    <row r="95" spans="1:5" x14ac:dyDescent="0.25">
      <c r="A95" s="3"/>
      <c r="B95" s="2" t="s">
        <v>133</v>
      </c>
      <c r="C95" s="27" t="s">
        <v>347</v>
      </c>
      <c r="D95" s="47"/>
      <c r="E95" s="41" t="str">
        <f t="shared" si="1"/>
        <v>Purpose</v>
      </c>
    </row>
    <row r="96" spans="1:5" x14ac:dyDescent="0.25">
      <c r="A96" s="3"/>
      <c r="B96" s="2" t="s">
        <v>134</v>
      </c>
      <c r="C96" s="27" t="s">
        <v>348</v>
      </c>
      <c r="D96" s="47"/>
      <c r="E96" s="41" t="str">
        <f t="shared" si="1"/>
        <v>RemoveFundingSource</v>
      </c>
    </row>
    <row r="97" spans="1:5" x14ac:dyDescent="0.25">
      <c r="A97" s="3"/>
      <c r="B97" s="2" t="s">
        <v>135</v>
      </c>
      <c r="C97" s="27" t="s">
        <v>96</v>
      </c>
      <c r="D97" s="47"/>
      <c r="E97" s="41" t="str">
        <f t="shared" si="1"/>
        <v>ContractType</v>
      </c>
    </row>
    <row r="98" spans="1:5" x14ac:dyDescent="0.25">
      <c r="A98" s="3"/>
      <c r="B98" s="2" t="s">
        <v>136</v>
      </c>
      <c r="C98" s="27" t="s">
        <v>97</v>
      </c>
      <c r="D98" s="47"/>
      <c r="E98" s="41" t="str">
        <f t="shared" si="1"/>
        <v>ContractDate</v>
      </c>
    </row>
    <row r="99" spans="1:5" x14ac:dyDescent="0.25">
      <c r="A99" s="3"/>
      <c r="B99" s="2" t="s">
        <v>137</v>
      </c>
      <c r="C99" s="27" t="s">
        <v>98</v>
      </c>
      <c r="D99" s="47"/>
      <c r="E99" s="41" t="str">
        <f t="shared" si="1"/>
        <v>IncomeSegment</v>
      </c>
    </row>
    <row r="100" spans="1:5" x14ac:dyDescent="0.25">
      <c r="A100" s="3"/>
      <c r="B100" s="2" t="s">
        <v>138</v>
      </c>
      <c r="C100" s="27" t="s">
        <v>349</v>
      </c>
      <c r="D100" s="47"/>
      <c r="E100" s="41" t="str">
        <f t="shared" si="1"/>
        <v>UsagePurpose</v>
      </c>
    </row>
    <row r="101" spans="1:5" x14ac:dyDescent="0.25">
      <c r="A101" s="3"/>
      <c r="B101" s="2" t="s">
        <v>139</v>
      </c>
      <c r="C101" s="27" t="s">
        <v>350</v>
      </c>
      <c r="D101" s="47"/>
      <c r="E101" s="41" t="str">
        <f t="shared" si="1"/>
        <v>PurposeDescription</v>
      </c>
    </row>
    <row r="102" spans="1:5" x14ac:dyDescent="0.25">
      <c r="A102" s="3"/>
      <c r="B102" s="2" t="s">
        <v>140</v>
      </c>
      <c r="C102" s="27" t="s">
        <v>351</v>
      </c>
      <c r="D102" s="47"/>
      <c r="E102" s="41" t="str">
        <f t="shared" si="1"/>
        <v>ProductType</v>
      </c>
    </row>
    <row r="103" spans="1:5" x14ac:dyDescent="0.25">
      <c r="A103" s="3"/>
      <c r="B103" s="2" t="s">
        <v>141</v>
      </c>
      <c r="C103" s="27" t="s">
        <v>388</v>
      </c>
      <c r="D103" s="47"/>
      <c r="E103" s="41" t="str">
        <f t="shared" si="1"/>
        <v>EconomicUsageArea</v>
      </c>
    </row>
    <row r="104" spans="1:5" x14ac:dyDescent="0.25">
      <c r="A104" s="3"/>
      <c r="B104" s="2" t="s">
        <v>240</v>
      </c>
      <c r="C104" s="27" t="s">
        <v>352</v>
      </c>
      <c r="D104" s="47"/>
      <c r="E104" s="41" t="str">
        <f t="shared" si="1"/>
        <v>SigningSource</v>
      </c>
    </row>
    <row r="105" spans="1:5" x14ac:dyDescent="0.25">
      <c r="A105" s="3"/>
      <c r="B105" s="2" t="s">
        <v>270</v>
      </c>
      <c r="C105" s="27" t="s">
        <v>711</v>
      </c>
      <c r="D105" s="47"/>
      <c r="E105" s="41" t="str">
        <f t="shared" si="1"/>
        <v>CreditHistoryType</v>
      </c>
    </row>
    <row r="106" spans="1:5" x14ac:dyDescent="0.25">
      <c r="A106" s="3"/>
      <c r="B106" s="2"/>
      <c r="C106" s="27"/>
      <c r="D106" s="47"/>
      <c r="E106" s="41" t="str">
        <f t="shared" si="1"/>
        <v xml:space="preserve"> </v>
      </c>
    </row>
    <row r="107" spans="1:5" x14ac:dyDescent="0.25">
      <c r="A107" s="3"/>
      <c r="B107" s="1" t="s">
        <v>418</v>
      </c>
      <c r="C107" s="27"/>
      <c r="D107" s="47"/>
      <c r="E107" s="41" t="str">
        <f t="shared" si="1"/>
        <v xml:space="preserve"> </v>
      </c>
    </row>
    <row r="108" spans="1:5" x14ac:dyDescent="0.25">
      <c r="A108" s="3"/>
      <c r="B108" s="2" t="s">
        <v>142</v>
      </c>
      <c r="C108" s="27" t="s">
        <v>239</v>
      </c>
      <c r="D108" s="47"/>
      <c r="E108" s="41" t="str">
        <f t="shared" si="1"/>
        <v>FinancialProductsMainGroup</v>
      </c>
    </row>
    <row r="109" spans="1:5" x14ac:dyDescent="0.25">
      <c r="A109" s="3"/>
      <c r="B109" s="2"/>
      <c r="C109" s="27"/>
      <c r="D109" s="47"/>
      <c r="E109" s="41" t="str">
        <f t="shared" si="1"/>
        <v xml:space="preserve"> </v>
      </c>
    </row>
    <row r="110" spans="1:5" x14ac:dyDescent="0.25">
      <c r="A110" s="3"/>
      <c r="B110" s="1" t="s">
        <v>419</v>
      </c>
      <c r="C110" s="27"/>
      <c r="D110" s="47"/>
      <c r="E110" s="41" t="str">
        <f t="shared" si="1"/>
        <v xml:space="preserve"> </v>
      </c>
    </row>
    <row r="111" spans="1:5" x14ac:dyDescent="0.25">
      <c r="A111" s="3"/>
      <c r="B111" s="2" t="s">
        <v>242</v>
      </c>
      <c r="C111" s="27" t="s">
        <v>241</v>
      </c>
      <c r="D111" s="47"/>
      <c r="E111" s="41" t="str">
        <f t="shared" si="1"/>
        <v>IssuedCreditsStatus</v>
      </c>
    </row>
    <row r="112" spans="1:5" x14ac:dyDescent="0.25">
      <c r="A112" s="3"/>
      <c r="B112" s="2"/>
      <c r="C112" s="27"/>
      <c r="D112" s="47"/>
      <c r="E112" s="41" t="str">
        <f t="shared" si="1"/>
        <v xml:space="preserve"> </v>
      </c>
    </row>
    <row r="113" spans="1:5" x14ac:dyDescent="0.25">
      <c r="A113" s="3"/>
      <c r="B113" s="1" t="s">
        <v>420</v>
      </c>
      <c r="C113" s="27"/>
      <c r="D113" s="47"/>
      <c r="E113" s="41" t="str">
        <f t="shared" si="1"/>
        <v xml:space="preserve"> </v>
      </c>
    </row>
    <row r="114" spans="1:5" x14ac:dyDescent="0.25">
      <c r="A114" s="3"/>
      <c r="B114" s="2" t="s">
        <v>244</v>
      </c>
      <c r="C114" s="27" t="s">
        <v>245</v>
      </c>
      <c r="D114" s="47"/>
      <c r="E114" s="41" t="str">
        <f t="shared" si="1"/>
        <v>CreditApplicationPartnerID</v>
      </c>
    </row>
    <row r="115" spans="1:5" x14ac:dyDescent="0.25">
      <c r="A115" s="3"/>
      <c r="B115" s="2" t="s">
        <v>389</v>
      </c>
      <c r="C115" s="27" t="s">
        <v>390</v>
      </c>
      <c r="D115" s="47"/>
      <c r="E115" s="41" t="str">
        <f t="shared" si="1"/>
        <v>CreditPartnerName</v>
      </c>
    </row>
    <row r="116" spans="1:5" x14ac:dyDescent="0.25">
      <c r="A116" s="3"/>
      <c r="B116" s="2"/>
      <c r="C116" s="27"/>
      <c r="D116" s="47"/>
      <c r="E116" s="41" t="str">
        <f t="shared" si="1"/>
        <v xml:space="preserve"> </v>
      </c>
    </row>
    <row r="117" spans="1:5" x14ac:dyDescent="0.25">
      <c r="A117" s="3"/>
      <c r="B117" s="1" t="s">
        <v>415</v>
      </c>
      <c r="C117" s="27"/>
      <c r="D117" s="47"/>
      <c r="E117" s="41" t="str">
        <f t="shared" si="1"/>
        <v xml:space="preserve"> </v>
      </c>
    </row>
    <row r="118" spans="1:5" x14ac:dyDescent="0.25">
      <c r="A118" s="3"/>
      <c r="B118" s="2" t="s">
        <v>47</v>
      </c>
      <c r="C118" s="27" t="s">
        <v>507</v>
      </c>
      <c r="D118" s="47"/>
      <c r="E118" s="41" t="str">
        <f t="shared" si="1"/>
        <v>First_Filial_ID/Last_Filial_ID</v>
      </c>
    </row>
    <row r="119" spans="1:5" x14ac:dyDescent="0.25">
      <c r="A119" s="3"/>
      <c r="B119" s="2" t="s">
        <v>48</v>
      </c>
      <c r="C119" s="27" t="s">
        <v>508</v>
      </c>
      <c r="D119" s="47"/>
      <c r="E119" s="41" t="str">
        <f t="shared" si="1"/>
        <v>First_Expert_ID/Last_Expert_ID</v>
      </c>
    </row>
    <row r="120" spans="1:5" x14ac:dyDescent="0.25">
      <c r="A120" s="3"/>
      <c r="B120" s="2"/>
      <c r="C120" s="27"/>
      <c r="D120" s="47"/>
      <c r="E120" s="41" t="str">
        <f t="shared" si="1"/>
        <v xml:space="preserve"> </v>
      </c>
    </row>
    <row r="121" spans="1:5" x14ac:dyDescent="0.25">
      <c r="A121" s="3"/>
      <c r="B121" s="1" t="s">
        <v>415</v>
      </c>
      <c r="C121" s="27"/>
      <c r="D121" s="47"/>
      <c r="E121" s="41" t="str">
        <f t="shared" si="1"/>
        <v xml:space="preserve"> </v>
      </c>
    </row>
    <row r="122" spans="1:5" x14ac:dyDescent="0.25">
      <c r="A122" s="3"/>
      <c r="B122" s="2" t="s">
        <v>61</v>
      </c>
      <c r="C122" s="27" t="s">
        <v>414</v>
      </c>
      <c r="D122" s="47"/>
      <c r="E122" s="41" t="str">
        <f t="shared" si="1"/>
        <v>FirstEmployeeID/LastEmployeeID</v>
      </c>
    </row>
    <row r="123" spans="1:5" x14ac:dyDescent="0.25">
      <c r="A123" s="3"/>
      <c r="B123" s="2"/>
      <c r="C123" s="27"/>
      <c r="D123" s="47"/>
      <c r="E123" s="41" t="str">
        <f t="shared" si="1"/>
        <v xml:space="preserve"> </v>
      </c>
    </row>
    <row r="124" spans="1:5" x14ac:dyDescent="0.25">
      <c r="A124" s="3"/>
      <c r="B124" s="2"/>
      <c r="C124" s="27"/>
      <c r="D124" s="47"/>
      <c r="E124" s="41" t="str">
        <f t="shared" si="1"/>
        <v xml:space="preserve"> </v>
      </c>
    </row>
    <row r="125" spans="1:5" x14ac:dyDescent="0.25">
      <c r="A125" s="3"/>
      <c r="B125" s="1" t="s">
        <v>421</v>
      </c>
      <c r="C125" s="27"/>
      <c r="D125" s="47"/>
      <c r="E125" s="41" t="str">
        <f t="shared" si="1"/>
        <v xml:space="preserve"> </v>
      </c>
    </row>
    <row r="126" spans="1:5" x14ac:dyDescent="0.25">
      <c r="A126" s="3"/>
      <c r="B126" s="2" t="s">
        <v>391</v>
      </c>
      <c r="C126" s="27" t="s">
        <v>221</v>
      </c>
      <c r="D126" s="47"/>
      <c r="E126" s="41" t="str">
        <f t="shared" si="1"/>
        <v>DealerID</v>
      </c>
    </row>
    <row r="127" spans="1:5" x14ac:dyDescent="0.25">
      <c r="A127" s="3"/>
      <c r="B127" s="2" t="s">
        <v>392</v>
      </c>
      <c r="C127" s="27" t="s">
        <v>393</v>
      </c>
      <c r="D127" s="47"/>
      <c r="E127" s="41" t="str">
        <f t="shared" si="1"/>
        <v>Source</v>
      </c>
    </row>
    <row r="128" spans="1:5" x14ac:dyDescent="0.25">
      <c r="A128" s="3"/>
      <c r="B128" s="2"/>
      <c r="C128" s="27"/>
      <c r="D128" s="47"/>
      <c r="E128" s="41" t="str">
        <f t="shared" si="1"/>
        <v xml:space="preserve"> </v>
      </c>
    </row>
    <row r="129" spans="1:5" x14ac:dyDescent="0.25">
      <c r="A129" s="3"/>
      <c r="B129" s="1" t="s">
        <v>422</v>
      </c>
      <c r="C129" s="27"/>
      <c r="D129" s="47"/>
      <c r="E129" s="41" t="str">
        <f t="shared" si="1"/>
        <v xml:space="preserve"> </v>
      </c>
    </row>
    <row r="130" spans="1:5" x14ac:dyDescent="0.25">
      <c r="A130" s="3"/>
      <c r="B130" s="2" t="s">
        <v>60</v>
      </c>
      <c r="C130" s="27" t="s">
        <v>246</v>
      </c>
      <c r="D130" s="47"/>
      <c r="E130" s="41" t="str">
        <f t="shared" si="1"/>
        <v>LatestOutstandingAmount</v>
      </c>
    </row>
    <row r="131" spans="1:5" x14ac:dyDescent="0.25">
      <c r="A131" s="3"/>
      <c r="B131" s="2"/>
      <c r="C131" s="27"/>
      <c r="D131" s="47"/>
      <c r="E131" s="41" t="str">
        <f t="shared" si="1"/>
        <v xml:space="preserve"> </v>
      </c>
    </row>
    <row r="132" spans="1:5" x14ac:dyDescent="0.25">
      <c r="A132" s="3"/>
      <c r="B132" s="1" t="s">
        <v>417</v>
      </c>
      <c r="C132" s="27"/>
      <c r="D132" s="47"/>
      <c r="E132" s="41" t="str">
        <f t="shared" si="1"/>
        <v xml:space="preserve"> </v>
      </c>
    </row>
    <row r="133" spans="1:5" x14ac:dyDescent="0.25">
      <c r="A133" s="3"/>
      <c r="B133" s="2" t="s">
        <v>395</v>
      </c>
      <c r="C133" s="27" t="s">
        <v>394</v>
      </c>
      <c r="D133" s="47"/>
      <c r="E133" s="41" t="str">
        <f t="shared" ref="E133:E207" si="2">IF(C133&gt;0,IF(D133&gt;0,D133, C133)," ")</f>
        <v>SegmentRevenue</v>
      </c>
    </row>
    <row r="134" spans="1:5" x14ac:dyDescent="0.25">
      <c r="A134" s="13"/>
      <c r="B134" s="19"/>
      <c r="C134" s="27"/>
      <c r="D134" s="47"/>
      <c r="E134" s="41" t="str">
        <f t="shared" si="2"/>
        <v xml:space="preserve"> </v>
      </c>
    </row>
    <row r="135" spans="1:5" x14ac:dyDescent="0.25">
      <c r="A135" s="13"/>
      <c r="B135" s="19" t="s">
        <v>423</v>
      </c>
      <c r="C135" s="27"/>
      <c r="D135" s="47"/>
      <c r="E135" s="41" t="str">
        <f t="shared" si="2"/>
        <v xml:space="preserve"> </v>
      </c>
    </row>
    <row r="136" spans="1:5" x14ac:dyDescent="0.25">
      <c r="A136" s="13"/>
      <c r="B136" s="15" t="s">
        <v>396</v>
      </c>
      <c r="C136" s="27" t="s">
        <v>397</v>
      </c>
      <c r="D136" s="47"/>
      <c r="E136" s="41" t="str">
        <f t="shared" si="2"/>
        <v>GreenCredit</v>
      </c>
    </row>
    <row r="137" spans="1:5" x14ac:dyDescent="0.25">
      <c r="A137" s="13"/>
      <c r="B137" s="15" t="s">
        <v>401</v>
      </c>
      <c r="C137" s="27" t="s">
        <v>398</v>
      </c>
      <c r="D137" s="47"/>
      <c r="E137" s="41" t="str">
        <f t="shared" si="2"/>
        <v>CommitteeProt_CrPurpose</v>
      </c>
    </row>
    <row r="138" spans="1:5" x14ac:dyDescent="0.25">
      <c r="A138" s="13"/>
      <c r="B138" s="15" t="s">
        <v>402</v>
      </c>
      <c r="C138" s="27" t="s">
        <v>399</v>
      </c>
      <c r="D138" s="47"/>
      <c r="E138" s="41" t="str">
        <f t="shared" si="2"/>
        <v>CommitteeProt_AMLRiskCat</v>
      </c>
    </row>
    <row r="139" spans="1:5" x14ac:dyDescent="0.25">
      <c r="A139" s="13"/>
      <c r="B139" s="15"/>
      <c r="C139" s="27"/>
      <c r="D139" s="47"/>
      <c r="E139" s="41" t="str">
        <f t="shared" si="2"/>
        <v xml:space="preserve"> </v>
      </c>
    </row>
    <row r="140" spans="1:5" x14ac:dyDescent="0.25">
      <c r="A140" s="13"/>
      <c r="B140" s="19" t="s">
        <v>416</v>
      </c>
      <c r="C140" s="27"/>
      <c r="D140" s="47"/>
      <c r="E140" s="41" t="str">
        <f t="shared" si="2"/>
        <v xml:space="preserve"> </v>
      </c>
    </row>
    <row r="141" spans="1:5" x14ac:dyDescent="0.25">
      <c r="A141" s="13"/>
      <c r="B141" s="15" t="s">
        <v>403</v>
      </c>
      <c r="C141" s="27" t="s">
        <v>400</v>
      </c>
      <c r="D141" s="47"/>
      <c r="E141" s="41" t="str">
        <f t="shared" si="2"/>
        <v>EconomicSectorEFSE</v>
      </c>
    </row>
    <row r="142" spans="1:5" x14ac:dyDescent="0.25">
      <c r="A142" s="13"/>
      <c r="B142" s="15" t="s">
        <v>404</v>
      </c>
      <c r="C142" s="27" t="s">
        <v>94</v>
      </c>
      <c r="D142" s="47"/>
      <c r="E142" s="41" t="str">
        <f t="shared" si="2"/>
        <v>EconomicSector</v>
      </c>
    </row>
    <row r="143" spans="1:5" x14ac:dyDescent="0.25">
      <c r="A143" s="22" t="s">
        <v>429</v>
      </c>
      <c r="B143" s="20"/>
      <c r="C143" s="16"/>
      <c r="D143" s="47"/>
      <c r="E143" s="41" t="str">
        <f t="shared" si="2"/>
        <v xml:space="preserve"> </v>
      </c>
    </row>
    <row r="144" spans="1:5" x14ac:dyDescent="0.25">
      <c r="A144" s="13"/>
      <c r="B144" s="19" t="s">
        <v>428</v>
      </c>
      <c r="C144" s="33"/>
      <c r="D144" s="47"/>
      <c r="E144" s="41" t="str">
        <f t="shared" si="2"/>
        <v xml:space="preserve"> </v>
      </c>
    </row>
    <row r="145" spans="1:5" x14ac:dyDescent="0.25">
      <c r="A145" s="13"/>
      <c r="B145" s="15" t="s">
        <v>426</v>
      </c>
      <c r="C145" s="27" t="s">
        <v>424</v>
      </c>
      <c r="D145" s="47"/>
      <c r="E145" s="41" t="str">
        <f t="shared" si="2"/>
        <v>EmployeePositionID</v>
      </c>
    </row>
    <row r="146" spans="1:5" x14ac:dyDescent="0.25">
      <c r="A146" s="13"/>
      <c r="B146" s="15" t="s">
        <v>427</v>
      </c>
      <c r="C146" s="27" t="s">
        <v>425</v>
      </c>
      <c r="D146" s="47"/>
      <c r="E146" s="41" t="str">
        <f t="shared" si="2"/>
        <v>EmployeePosition</v>
      </c>
    </row>
    <row r="147" spans="1:5" x14ac:dyDescent="0.25">
      <c r="A147" s="13"/>
      <c r="B147" s="15"/>
      <c r="C147" s="33"/>
      <c r="D147" s="47"/>
      <c r="E147" s="41" t="str">
        <f t="shared" si="2"/>
        <v xml:space="preserve"> </v>
      </c>
    </row>
    <row r="148" spans="1:5" x14ac:dyDescent="0.25">
      <c r="A148" s="22" t="s">
        <v>430</v>
      </c>
      <c r="B148" s="20"/>
      <c r="C148" s="16"/>
      <c r="D148" s="47"/>
      <c r="E148" s="41" t="str">
        <f t="shared" si="2"/>
        <v xml:space="preserve"> </v>
      </c>
    </row>
    <row r="149" spans="1:5" x14ac:dyDescent="0.25">
      <c r="A149" s="13"/>
      <c r="B149" s="19" t="s">
        <v>428</v>
      </c>
      <c r="C149" s="33"/>
      <c r="D149" s="47"/>
      <c r="E149" s="41" t="str">
        <f t="shared" si="2"/>
        <v xml:space="preserve"> </v>
      </c>
    </row>
    <row r="150" spans="1:5" x14ac:dyDescent="0.25">
      <c r="A150" s="13"/>
      <c r="B150" s="15" t="s">
        <v>170</v>
      </c>
      <c r="C150" s="27" t="s">
        <v>431</v>
      </c>
      <c r="D150" s="47"/>
      <c r="E150" s="41" t="str">
        <f t="shared" si="2"/>
        <v>EmployeeID</v>
      </c>
    </row>
    <row r="151" spans="1:5" x14ac:dyDescent="0.25">
      <c r="A151" s="13"/>
      <c r="B151" s="15" t="s">
        <v>438</v>
      </c>
      <c r="C151" s="27" t="s">
        <v>10</v>
      </c>
      <c r="D151" s="47"/>
      <c r="E151" s="41" t="str">
        <f t="shared" si="2"/>
        <v>BranchID</v>
      </c>
    </row>
    <row r="152" spans="1:5" x14ac:dyDescent="0.25">
      <c r="A152" s="13"/>
      <c r="B152" s="15" t="s">
        <v>171</v>
      </c>
      <c r="C152" s="27" t="s">
        <v>432</v>
      </c>
      <c r="D152" s="47"/>
      <c r="E152" s="41" t="str">
        <f t="shared" si="2"/>
        <v>EmployeeCode</v>
      </c>
    </row>
    <row r="153" spans="1:5" x14ac:dyDescent="0.25">
      <c r="A153" s="13"/>
      <c r="B153" s="15" t="s">
        <v>426</v>
      </c>
      <c r="C153" s="27" t="s">
        <v>424</v>
      </c>
      <c r="D153" s="47"/>
      <c r="E153" s="41" t="str">
        <f t="shared" si="2"/>
        <v>EmployeePositionID</v>
      </c>
    </row>
    <row r="154" spans="1:5" x14ac:dyDescent="0.25">
      <c r="A154" s="13"/>
      <c r="B154" s="15" t="s">
        <v>439</v>
      </c>
      <c r="C154" s="27" t="s">
        <v>433</v>
      </c>
      <c r="D154" s="47"/>
      <c r="E154" s="41" t="str">
        <f t="shared" si="2"/>
        <v>EmployeeName</v>
      </c>
    </row>
    <row r="155" spans="1:5" x14ac:dyDescent="0.25">
      <c r="A155" s="13"/>
      <c r="B155" s="15" t="s">
        <v>427</v>
      </c>
      <c r="C155" s="27" t="s">
        <v>425</v>
      </c>
      <c r="D155" s="47"/>
      <c r="E155" s="41" t="str">
        <f t="shared" si="2"/>
        <v>EmployeePosition</v>
      </c>
    </row>
    <row r="156" spans="1:5" x14ac:dyDescent="0.25">
      <c r="A156" s="13"/>
      <c r="B156" s="15" t="s">
        <v>172</v>
      </c>
      <c r="C156" s="27" t="s">
        <v>434</v>
      </c>
      <c r="D156" s="47"/>
      <c r="E156" s="41" t="str">
        <f t="shared" si="2"/>
        <v>HireDate</v>
      </c>
    </row>
    <row r="157" spans="1:5" x14ac:dyDescent="0.25">
      <c r="A157" s="13"/>
      <c r="B157" s="15" t="s">
        <v>174</v>
      </c>
      <c r="C157" s="27" t="s">
        <v>435</v>
      </c>
      <c r="D157" s="47"/>
      <c r="E157" s="41" t="str">
        <f t="shared" si="2"/>
        <v>BirthDate</v>
      </c>
    </row>
    <row r="158" spans="1:5" x14ac:dyDescent="0.25">
      <c r="A158" s="13"/>
      <c r="B158" s="15" t="s">
        <v>173</v>
      </c>
      <c r="C158" s="27" t="s">
        <v>436</v>
      </c>
      <c r="D158" s="47"/>
      <c r="E158" s="41" t="str">
        <f t="shared" si="2"/>
        <v>DismissalDate</v>
      </c>
    </row>
    <row r="159" spans="1:5" x14ac:dyDescent="0.25">
      <c r="A159" s="13"/>
      <c r="B159" s="15" t="s">
        <v>175</v>
      </c>
      <c r="C159" s="27" t="s">
        <v>437</v>
      </c>
      <c r="D159" s="47"/>
      <c r="E159" s="41" t="str">
        <f t="shared" si="2"/>
        <v>TimesheetNumber</v>
      </c>
    </row>
    <row r="160" spans="1:5" x14ac:dyDescent="0.25">
      <c r="A160" s="13"/>
      <c r="B160" s="15" t="s">
        <v>440</v>
      </c>
      <c r="C160" s="27" t="s">
        <v>441</v>
      </c>
      <c r="D160" s="47"/>
      <c r="E160" s="41" t="str">
        <f t="shared" si="2"/>
        <v>EmploymentPositionType</v>
      </c>
    </row>
    <row r="161" spans="1:5" x14ac:dyDescent="0.25">
      <c r="A161" s="22" t="s">
        <v>442</v>
      </c>
      <c r="B161" s="20"/>
      <c r="C161" s="34"/>
      <c r="D161" s="47"/>
      <c r="E161" s="41" t="str">
        <f t="shared" si="2"/>
        <v xml:space="preserve"> </v>
      </c>
    </row>
    <row r="162" spans="1:5" x14ac:dyDescent="0.25">
      <c r="A162" s="23"/>
      <c r="B162" s="24" t="s">
        <v>415</v>
      </c>
      <c r="C162" s="26"/>
      <c r="D162" s="47"/>
      <c r="E162" s="41" t="str">
        <f t="shared" si="2"/>
        <v xml:space="preserve"> </v>
      </c>
    </row>
    <row r="163" spans="1:5" x14ac:dyDescent="0.25">
      <c r="A163" s="13"/>
      <c r="B163" s="15" t="s">
        <v>445</v>
      </c>
      <c r="C163" s="27" t="s">
        <v>176</v>
      </c>
      <c r="D163" s="47"/>
      <c r="E163" s="41" t="str">
        <f t="shared" si="2"/>
        <v>Period</v>
      </c>
    </row>
    <row r="164" spans="1:5" x14ac:dyDescent="0.25">
      <c r="A164" s="13"/>
      <c r="B164" s="15" t="s">
        <v>446</v>
      </c>
      <c r="C164" s="27" t="s">
        <v>86</v>
      </c>
      <c r="D164" s="47"/>
      <c r="E164" s="41" t="str">
        <f t="shared" si="2"/>
        <v>ID</v>
      </c>
    </row>
    <row r="165" spans="1:5" x14ac:dyDescent="0.25">
      <c r="A165" s="13"/>
      <c r="B165" s="15" t="s">
        <v>188</v>
      </c>
      <c r="C165" s="27" t="s">
        <v>87</v>
      </c>
      <c r="D165" s="47"/>
      <c r="E165" s="41" t="str">
        <f t="shared" si="2"/>
        <v>RowNumber</v>
      </c>
    </row>
    <row r="166" spans="1:5" x14ac:dyDescent="0.25">
      <c r="A166" s="13"/>
      <c r="B166" s="15" t="s">
        <v>187</v>
      </c>
      <c r="C166" s="27" t="s">
        <v>177</v>
      </c>
      <c r="D166" s="47"/>
      <c r="E166" s="41" t="str">
        <f t="shared" si="2"/>
        <v>IsActive</v>
      </c>
    </row>
    <row r="167" spans="1:5" x14ac:dyDescent="0.25">
      <c r="A167" s="13"/>
      <c r="B167" s="15" t="s">
        <v>186</v>
      </c>
      <c r="C167" s="27" t="s">
        <v>178</v>
      </c>
      <c r="D167" s="47"/>
      <c r="E167" s="41" t="str">
        <f t="shared" si="2"/>
        <v>Credit_ID</v>
      </c>
    </row>
    <row r="168" spans="1:5" x14ac:dyDescent="0.25">
      <c r="A168" s="13"/>
      <c r="B168" s="15" t="s">
        <v>447</v>
      </c>
      <c r="C168" s="27" t="s">
        <v>89</v>
      </c>
      <c r="D168" s="47"/>
      <c r="E168" s="41" t="str">
        <f t="shared" si="2"/>
        <v>Credit</v>
      </c>
    </row>
    <row r="169" spans="1:5" x14ac:dyDescent="0.25">
      <c r="A169" s="13"/>
      <c r="B169" s="15" t="s">
        <v>62</v>
      </c>
      <c r="C169" s="27" t="s">
        <v>179</v>
      </c>
      <c r="D169" s="47"/>
      <c r="E169" s="41" t="str">
        <f t="shared" si="2"/>
        <v>Filial_ID</v>
      </c>
    </row>
    <row r="170" spans="1:5" x14ac:dyDescent="0.25">
      <c r="A170" s="13"/>
      <c r="B170" s="15" t="s">
        <v>184</v>
      </c>
      <c r="C170" s="27" t="s">
        <v>180</v>
      </c>
      <c r="D170" s="47"/>
      <c r="E170" s="41" t="str">
        <f t="shared" si="2"/>
        <v>Filial</v>
      </c>
    </row>
    <row r="171" spans="1:5" x14ac:dyDescent="0.25">
      <c r="A171" s="13"/>
      <c r="B171" s="15" t="s">
        <v>61</v>
      </c>
      <c r="C171" s="27" t="s">
        <v>443</v>
      </c>
      <c r="D171" s="47"/>
      <c r="E171" s="41" t="str">
        <f t="shared" si="2"/>
        <v>Employee_ID</v>
      </c>
    </row>
    <row r="172" spans="1:5" x14ac:dyDescent="0.25">
      <c r="A172" s="13"/>
      <c r="B172" s="15" t="s">
        <v>448</v>
      </c>
      <c r="C172" s="27" t="s">
        <v>444</v>
      </c>
      <c r="D172" s="47"/>
      <c r="E172" s="41" t="str">
        <f t="shared" si="2"/>
        <v>Employee</v>
      </c>
    </row>
    <row r="173" spans="1:5" x14ac:dyDescent="0.25">
      <c r="A173" s="22" t="s">
        <v>451</v>
      </c>
      <c r="B173" s="20"/>
      <c r="C173" s="34"/>
      <c r="D173" s="47"/>
      <c r="E173" s="41" t="str">
        <f t="shared" si="2"/>
        <v xml:space="preserve"> </v>
      </c>
    </row>
    <row r="174" spans="1:5" x14ac:dyDescent="0.25">
      <c r="A174" s="13"/>
      <c r="B174" s="19" t="s">
        <v>482</v>
      </c>
      <c r="C174" s="42"/>
      <c r="D174" s="47"/>
      <c r="E174" s="41" t="str">
        <f t="shared" si="2"/>
        <v xml:space="preserve"> </v>
      </c>
    </row>
    <row r="175" spans="1:5" x14ac:dyDescent="0.25">
      <c r="A175" s="13"/>
      <c r="B175" s="15" t="s">
        <v>467</v>
      </c>
      <c r="C175" s="27" t="s">
        <v>452</v>
      </c>
      <c r="D175" s="47"/>
      <c r="E175" s="41" t="str">
        <f t="shared" si="2"/>
        <v>Event_Period</v>
      </c>
    </row>
    <row r="176" spans="1:5" x14ac:dyDescent="0.25">
      <c r="A176" s="13"/>
      <c r="B176" s="15" t="s">
        <v>468</v>
      </c>
      <c r="C176" s="27" t="s">
        <v>453</v>
      </c>
      <c r="D176" s="47"/>
      <c r="E176" s="41" t="str">
        <f t="shared" si="2"/>
        <v>Event_ID</v>
      </c>
    </row>
    <row r="177" spans="1:5" x14ac:dyDescent="0.25">
      <c r="A177" s="13"/>
      <c r="B177" s="15" t="s">
        <v>469</v>
      </c>
      <c r="C177" s="27" t="s">
        <v>454</v>
      </c>
      <c r="D177" s="47"/>
      <c r="E177" s="41" t="str">
        <f t="shared" si="2"/>
        <v>Event_ClientID</v>
      </c>
    </row>
    <row r="178" spans="1:5" x14ac:dyDescent="0.25">
      <c r="A178" s="13"/>
      <c r="B178" s="15" t="s">
        <v>470</v>
      </c>
      <c r="C178" s="27" t="s">
        <v>455</v>
      </c>
      <c r="D178" s="47"/>
      <c r="E178" s="41" t="str">
        <f t="shared" si="2"/>
        <v>Event_Status</v>
      </c>
    </row>
    <row r="179" spans="1:5" x14ac:dyDescent="0.25">
      <c r="A179" s="13"/>
      <c r="B179" s="15" t="s">
        <v>471</v>
      </c>
      <c r="C179" s="27" t="s">
        <v>456</v>
      </c>
      <c r="D179" s="47"/>
      <c r="E179" s="41" t="str">
        <f t="shared" si="2"/>
        <v>Event_Kind</v>
      </c>
    </row>
    <row r="180" spans="1:5" x14ac:dyDescent="0.25">
      <c r="A180" s="13"/>
      <c r="B180" s="15" t="s">
        <v>472</v>
      </c>
      <c r="C180" s="27" t="s">
        <v>457</v>
      </c>
      <c r="D180" s="47"/>
      <c r="E180" s="41" t="str">
        <f t="shared" si="2"/>
        <v>Event_Type</v>
      </c>
    </row>
    <row r="181" spans="1:5" x14ac:dyDescent="0.25">
      <c r="A181" s="13"/>
      <c r="B181" s="15" t="s">
        <v>473</v>
      </c>
      <c r="C181" s="27" t="s">
        <v>458</v>
      </c>
      <c r="D181" s="47"/>
      <c r="E181" s="41" t="str">
        <f t="shared" si="2"/>
        <v>Event_Project</v>
      </c>
    </row>
    <row r="182" spans="1:5" x14ac:dyDescent="0.25">
      <c r="A182" s="13"/>
      <c r="B182" s="15" t="s">
        <v>474</v>
      </c>
      <c r="C182" s="27" t="s">
        <v>459</v>
      </c>
      <c r="D182" s="47"/>
      <c r="E182" s="41" t="str">
        <f t="shared" si="2"/>
        <v>Event_Content</v>
      </c>
    </row>
    <row r="183" spans="1:5" x14ac:dyDescent="0.25">
      <c r="A183" s="13"/>
      <c r="B183" s="15" t="s">
        <v>475</v>
      </c>
      <c r="C183" s="27" t="s">
        <v>460</v>
      </c>
      <c r="D183" s="47"/>
      <c r="E183" s="41" t="str">
        <f t="shared" si="2"/>
        <v>Event_ResponsibleID</v>
      </c>
    </row>
    <row r="184" spans="1:5" x14ac:dyDescent="0.25">
      <c r="A184" s="13"/>
      <c r="B184" s="15" t="s">
        <v>476</v>
      </c>
      <c r="C184" s="27" t="s">
        <v>461</v>
      </c>
      <c r="D184" s="47"/>
      <c r="E184" s="41" t="str">
        <f t="shared" si="2"/>
        <v>Event_Responsible</v>
      </c>
    </row>
    <row r="185" spans="1:5" x14ac:dyDescent="0.25">
      <c r="A185" s="13"/>
      <c r="B185" s="15" t="s">
        <v>477</v>
      </c>
      <c r="C185" s="27" t="s">
        <v>462</v>
      </c>
      <c r="D185" s="47"/>
      <c r="E185" s="41" t="str">
        <f t="shared" si="2"/>
        <v>Event_NextDateEvent</v>
      </c>
    </row>
    <row r="186" spans="1:5" x14ac:dyDescent="0.25">
      <c r="A186" s="13"/>
      <c r="B186" s="15" t="s">
        <v>478</v>
      </c>
      <c r="C186" s="27" t="s">
        <v>464</v>
      </c>
      <c r="D186" s="47"/>
      <c r="E186" s="41" t="str">
        <f t="shared" si="2"/>
        <v>Event_NextKindEvent</v>
      </c>
    </row>
    <row r="187" spans="1:5" x14ac:dyDescent="0.25">
      <c r="A187" s="13"/>
      <c r="B187" s="15" t="s">
        <v>479</v>
      </c>
      <c r="C187" s="27" t="s">
        <v>465</v>
      </c>
      <c r="D187" s="47"/>
      <c r="E187" s="41" t="str">
        <f t="shared" si="2"/>
        <v>Event_BranchID</v>
      </c>
    </row>
    <row r="188" spans="1:5" x14ac:dyDescent="0.25">
      <c r="A188" s="13"/>
      <c r="B188" s="15" t="s">
        <v>480</v>
      </c>
      <c r="C188" s="27" t="s">
        <v>466</v>
      </c>
      <c r="D188" s="47"/>
      <c r="E188" s="41" t="str">
        <f t="shared" si="2"/>
        <v>Event_Branch_Name</v>
      </c>
    </row>
    <row r="189" spans="1:5" x14ac:dyDescent="0.25">
      <c r="A189" s="13"/>
      <c r="B189" s="15" t="s">
        <v>427</v>
      </c>
      <c r="C189" s="27" t="s">
        <v>425</v>
      </c>
      <c r="D189" s="47"/>
      <c r="E189" s="41" t="str">
        <f t="shared" si="2"/>
        <v>EmployeePosition</v>
      </c>
    </row>
    <row r="190" spans="1:5" x14ac:dyDescent="0.25">
      <c r="A190" s="13"/>
      <c r="B190" s="15" t="s">
        <v>481</v>
      </c>
      <c r="C190" s="27" t="s">
        <v>463</v>
      </c>
      <c r="D190" s="47"/>
      <c r="E190" s="41" t="str">
        <f t="shared" si="2"/>
        <v xml:space="preserve">EmployeeBranch </v>
      </c>
    </row>
    <row r="191" spans="1:5" x14ac:dyDescent="0.25">
      <c r="A191" s="13"/>
      <c r="B191" s="15"/>
      <c r="C191" s="33"/>
      <c r="D191" s="47"/>
      <c r="E191" s="41"/>
    </row>
    <row r="192" spans="1:5" x14ac:dyDescent="0.25">
      <c r="A192" s="22" t="s">
        <v>483</v>
      </c>
      <c r="B192" s="20"/>
      <c r="C192" s="34"/>
      <c r="D192" s="47"/>
      <c r="E192" s="41" t="str">
        <f t="shared" ref="E192:E206" si="3">IF(C192&gt;0,IF(D192&gt;0,D192, C192)," ")</f>
        <v xml:space="preserve"> </v>
      </c>
    </row>
    <row r="193" spans="1:5" x14ac:dyDescent="0.25">
      <c r="A193" s="13"/>
      <c r="B193" s="19" t="s">
        <v>501</v>
      </c>
      <c r="C193" s="42"/>
      <c r="D193" s="47"/>
      <c r="E193" s="41" t="str">
        <f t="shared" si="3"/>
        <v xml:space="preserve"> </v>
      </c>
    </row>
    <row r="194" spans="1:5" x14ac:dyDescent="0.25">
      <c r="A194" s="13"/>
      <c r="B194" s="15" t="s">
        <v>494</v>
      </c>
      <c r="C194" s="27" t="s">
        <v>374</v>
      </c>
      <c r="D194" s="47"/>
      <c r="E194" s="41" t="str">
        <f t="shared" si="3"/>
        <v>GroupID</v>
      </c>
    </row>
    <row r="195" spans="1:5" x14ac:dyDescent="0.25">
      <c r="A195" s="13"/>
      <c r="B195" s="15" t="s">
        <v>495</v>
      </c>
      <c r="C195" s="27" t="s">
        <v>484</v>
      </c>
      <c r="D195" s="47"/>
      <c r="E195" s="41" t="str">
        <f t="shared" si="3"/>
        <v>PersonID</v>
      </c>
    </row>
    <row r="196" spans="1:5" x14ac:dyDescent="0.25">
      <c r="A196" s="13"/>
      <c r="B196" s="15" t="s">
        <v>496</v>
      </c>
      <c r="C196" s="27" t="s">
        <v>485</v>
      </c>
      <c r="D196" s="47"/>
      <c r="E196" s="41" t="str">
        <f t="shared" si="3"/>
        <v>PersonName</v>
      </c>
    </row>
    <row r="197" spans="1:5" x14ac:dyDescent="0.25">
      <c r="A197" s="13"/>
      <c r="B197" s="15" t="s">
        <v>497</v>
      </c>
      <c r="C197" s="27" t="s">
        <v>486</v>
      </c>
      <c r="D197" s="47"/>
      <c r="E197" s="41" t="str">
        <f t="shared" si="3"/>
        <v>PeriodOriginal</v>
      </c>
    </row>
    <row r="198" spans="1:5" x14ac:dyDescent="0.25">
      <c r="A198" s="13"/>
      <c r="B198" s="15" t="s">
        <v>498</v>
      </c>
      <c r="C198" s="27" t="s">
        <v>487</v>
      </c>
      <c r="D198" s="47"/>
      <c r="E198" s="41" t="str">
        <f t="shared" si="3"/>
        <v>ActiveFlag</v>
      </c>
    </row>
    <row r="199" spans="1:5" x14ac:dyDescent="0.25">
      <c r="A199" s="13"/>
      <c r="B199" s="15" t="s">
        <v>499</v>
      </c>
      <c r="C199" s="27" t="s">
        <v>488</v>
      </c>
      <c r="D199" s="47"/>
      <c r="E199" s="41" t="str">
        <f t="shared" si="3"/>
        <v>ExcludedFlag</v>
      </c>
    </row>
    <row r="200" spans="1:5" x14ac:dyDescent="0.25">
      <c r="A200" s="13"/>
      <c r="B200" s="15" t="s">
        <v>500</v>
      </c>
      <c r="C200" s="27" t="s">
        <v>489</v>
      </c>
      <c r="D200" s="47"/>
      <c r="E200" s="41" t="str">
        <f t="shared" si="3"/>
        <v>GroupName</v>
      </c>
    </row>
    <row r="201" spans="1:5" x14ac:dyDescent="0.25">
      <c r="A201" s="13"/>
      <c r="B201" s="15"/>
      <c r="C201" s="27"/>
      <c r="D201" s="47"/>
      <c r="E201" s="41"/>
    </row>
    <row r="202" spans="1:5" x14ac:dyDescent="0.25">
      <c r="A202" s="13"/>
      <c r="B202" s="19" t="s">
        <v>410</v>
      </c>
      <c r="C202" s="27"/>
      <c r="D202" s="47"/>
      <c r="E202" s="41"/>
    </row>
    <row r="203" spans="1:5" x14ac:dyDescent="0.25">
      <c r="A203" s="13"/>
      <c r="B203" s="15" t="s">
        <v>502</v>
      </c>
      <c r="C203" s="27" t="s">
        <v>490</v>
      </c>
      <c r="D203" s="47"/>
      <c r="E203" s="41" t="str">
        <f t="shared" si="3"/>
        <v>GroupOwner</v>
      </c>
    </row>
    <row r="204" spans="1:5" x14ac:dyDescent="0.25">
      <c r="A204" s="13"/>
      <c r="B204" s="15" t="s">
        <v>503</v>
      </c>
      <c r="C204" s="27" t="s">
        <v>491</v>
      </c>
      <c r="D204" s="47"/>
      <c r="E204" s="41" t="str">
        <f t="shared" si="3"/>
        <v>GroupCode</v>
      </c>
    </row>
    <row r="205" spans="1:5" x14ac:dyDescent="0.25">
      <c r="A205" s="13"/>
      <c r="B205" s="15" t="s">
        <v>504</v>
      </c>
      <c r="C205" s="27" t="s">
        <v>492</v>
      </c>
      <c r="D205" s="47"/>
      <c r="E205" s="41" t="str">
        <f t="shared" si="3"/>
        <v>GroupNameFull</v>
      </c>
    </row>
    <row r="206" spans="1:5" x14ac:dyDescent="0.25">
      <c r="A206" s="13"/>
      <c r="B206" s="15" t="s">
        <v>505</v>
      </c>
      <c r="C206" s="27" t="s">
        <v>493</v>
      </c>
      <c r="D206" s="47"/>
      <c r="E206" s="41" t="str">
        <f t="shared" si="3"/>
        <v>GroupOwnerTax</v>
      </c>
    </row>
    <row r="207" spans="1:5" x14ac:dyDescent="0.25">
      <c r="A207" s="13"/>
      <c r="B207" s="15"/>
      <c r="C207" s="33"/>
      <c r="D207" s="47"/>
      <c r="E207" s="41" t="str">
        <f t="shared" si="2"/>
        <v xml:space="preserve"> </v>
      </c>
    </row>
    <row r="208" spans="1:5" x14ac:dyDescent="0.25">
      <c r="A208" s="22" t="s">
        <v>506</v>
      </c>
      <c r="B208" s="17"/>
      <c r="C208" s="21"/>
      <c r="D208" s="47"/>
      <c r="E208" s="41" t="str">
        <f t="shared" ref="E208:E213" si="4">IF(C208&gt;0,IF(D208&gt;0,D208, C208)," ")</f>
        <v xml:space="preserve"> </v>
      </c>
    </row>
    <row r="209" spans="1:5" x14ac:dyDescent="0.25">
      <c r="A209" s="12"/>
      <c r="B209" s="5" t="s">
        <v>509</v>
      </c>
      <c r="C209" s="26"/>
      <c r="D209" s="47"/>
      <c r="E209" s="41" t="str">
        <f t="shared" si="4"/>
        <v xml:space="preserve"> </v>
      </c>
    </row>
    <row r="210" spans="1:5" x14ac:dyDescent="0.25">
      <c r="A210" s="3"/>
      <c r="B210" s="2" t="s">
        <v>250</v>
      </c>
      <c r="C210" s="27" t="s">
        <v>516</v>
      </c>
      <c r="D210" s="47"/>
      <c r="E210" s="41" t="str">
        <f t="shared" si="4"/>
        <v>PartnerBranchID</v>
      </c>
    </row>
    <row r="211" spans="1:5" x14ac:dyDescent="0.25">
      <c r="A211" s="3"/>
      <c r="B211" s="2" t="s">
        <v>251</v>
      </c>
      <c r="C211" s="27" t="s">
        <v>515</v>
      </c>
      <c r="D211" s="47"/>
      <c r="E211" s="41" t="str">
        <f t="shared" si="4"/>
        <v>PartnerBranchDeletedFlag</v>
      </c>
    </row>
    <row r="212" spans="1:5" x14ac:dyDescent="0.25">
      <c r="A212" s="3"/>
      <c r="B212" s="2" t="s">
        <v>252</v>
      </c>
      <c r="C212" s="27" t="s">
        <v>514</v>
      </c>
      <c r="D212" s="47"/>
      <c r="E212" s="41" t="str">
        <f t="shared" si="4"/>
        <v>PartnerBranchOwner</v>
      </c>
    </row>
    <row r="213" spans="1:5" x14ac:dyDescent="0.25">
      <c r="A213" s="3"/>
      <c r="B213" s="2" t="s">
        <v>253</v>
      </c>
      <c r="C213" s="27" t="s">
        <v>513</v>
      </c>
      <c r="D213" s="47"/>
      <c r="E213" s="41" t="str">
        <f t="shared" si="4"/>
        <v>PartnerBranchCode</v>
      </c>
    </row>
    <row r="214" spans="1:5" x14ac:dyDescent="0.25">
      <c r="A214" s="3"/>
      <c r="B214" s="2" t="s">
        <v>254</v>
      </c>
      <c r="C214" s="27" t="s">
        <v>512</v>
      </c>
      <c r="D214" s="47"/>
      <c r="E214" s="41" t="str">
        <f t="shared" ref="E214:E359" si="5">IF(C214&gt;0,IF(D214&gt;0,D214, C214)," ")</f>
        <v>PartnerBranchName</v>
      </c>
    </row>
    <row r="215" spans="1:5" x14ac:dyDescent="0.25">
      <c r="A215" s="3"/>
      <c r="B215" s="2" t="s">
        <v>255</v>
      </c>
      <c r="C215" s="27" t="s">
        <v>511</v>
      </c>
      <c r="D215" s="47"/>
      <c r="E215" s="41" t="str">
        <f t="shared" si="5"/>
        <v>PartnerBranchAddress</v>
      </c>
    </row>
    <row r="216" spans="1:5" x14ac:dyDescent="0.25">
      <c r="A216" s="3"/>
      <c r="B216" s="2"/>
      <c r="C216" s="27"/>
      <c r="D216" s="47"/>
      <c r="E216" s="41" t="str">
        <f t="shared" si="5"/>
        <v xml:space="preserve"> </v>
      </c>
    </row>
    <row r="217" spans="1:5" x14ac:dyDescent="0.25">
      <c r="A217" s="3"/>
      <c r="B217" s="5" t="s">
        <v>407</v>
      </c>
      <c r="C217" s="27"/>
      <c r="D217" s="47"/>
      <c r="E217" s="41" t="str">
        <f t="shared" si="5"/>
        <v xml:space="preserve"> </v>
      </c>
    </row>
    <row r="218" spans="1:5" x14ac:dyDescent="0.25">
      <c r="A218" s="3"/>
      <c r="B218" s="11" t="s">
        <v>149</v>
      </c>
      <c r="C218" s="27" t="s">
        <v>510</v>
      </c>
      <c r="D218" s="47"/>
      <c r="E218" s="41" t="str">
        <f t="shared" si="5"/>
        <v>PartnerOwnerName</v>
      </c>
    </row>
    <row r="219" spans="1:5" x14ac:dyDescent="0.25">
      <c r="A219" s="3"/>
      <c r="C219" s="27"/>
      <c r="D219" s="47"/>
      <c r="E219" s="41" t="str">
        <f t="shared" si="5"/>
        <v xml:space="preserve"> </v>
      </c>
    </row>
    <row r="220" spans="1:5" x14ac:dyDescent="0.25">
      <c r="A220" s="3"/>
      <c r="B220" s="1" t="s">
        <v>519</v>
      </c>
      <c r="C220" s="27"/>
      <c r="D220" s="47"/>
      <c r="E220" s="41" t="str">
        <f t="shared" si="5"/>
        <v xml:space="preserve"> </v>
      </c>
    </row>
    <row r="221" spans="1:5" x14ac:dyDescent="0.25">
      <c r="A221" s="3"/>
      <c r="B221" s="2" t="s">
        <v>256</v>
      </c>
      <c r="C221" s="27" t="s">
        <v>221</v>
      </c>
      <c r="D221" s="47"/>
      <c r="E221" s="41" t="str">
        <f t="shared" si="5"/>
        <v>DealerID</v>
      </c>
    </row>
    <row r="222" spans="1:5" x14ac:dyDescent="0.25">
      <c r="A222" s="3"/>
      <c r="B222" s="2" t="s">
        <v>257</v>
      </c>
      <c r="C222" s="27" t="s">
        <v>522</v>
      </c>
      <c r="D222" s="47"/>
      <c r="E222" s="41" t="str">
        <f t="shared" si="5"/>
        <v>DealerDefaultEmployeeID</v>
      </c>
    </row>
    <row r="223" spans="1:5" x14ac:dyDescent="0.25">
      <c r="A223" s="3"/>
      <c r="B223" s="2" t="s">
        <v>258</v>
      </c>
      <c r="C223" s="27" t="s">
        <v>523</v>
      </c>
      <c r="D223" s="47"/>
      <c r="E223" s="41" t="str">
        <f t="shared" si="5"/>
        <v>DealerDefaultEmployeeName</v>
      </c>
    </row>
    <row r="224" spans="1:5" x14ac:dyDescent="0.25">
      <c r="A224" s="3"/>
      <c r="B224" s="2" t="s">
        <v>259</v>
      </c>
      <c r="C224" s="27" t="s">
        <v>524</v>
      </c>
      <c r="D224" s="47"/>
      <c r="E224" s="41" t="str">
        <f t="shared" si="5"/>
        <v>DealerOrgRepID</v>
      </c>
    </row>
    <row r="225" spans="1:5" x14ac:dyDescent="0.25">
      <c r="A225" s="3"/>
      <c r="B225" s="2" t="s">
        <v>249</v>
      </c>
      <c r="C225" s="27" t="s">
        <v>525</v>
      </c>
      <c r="D225" s="47"/>
      <c r="E225" s="41" t="str">
        <f t="shared" si="5"/>
        <v>DealerOrgRepName</v>
      </c>
    </row>
    <row r="226" spans="1:5" x14ac:dyDescent="0.25">
      <c r="A226" s="3"/>
      <c r="B226" s="2" t="s">
        <v>518</v>
      </c>
      <c r="C226" s="27" t="s">
        <v>526</v>
      </c>
      <c r="D226" s="47"/>
      <c r="E226" s="41" t="str">
        <f t="shared" si="5"/>
        <v>DealerCabinetID</v>
      </c>
    </row>
    <row r="227" spans="1:5" x14ac:dyDescent="0.25">
      <c r="A227" s="3"/>
      <c r="B227" s="2" t="s">
        <v>517</v>
      </c>
      <c r="C227" s="27" t="s">
        <v>527</v>
      </c>
      <c r="D227" s="47"/>
      <c r="E227" s="41" t="str">
        <f t="shared" si="5"/>
        <v>DealerCabinetType</v>
      </c>
    </row>
    <row r="228" spans="1:5" x14ac:dyDescent="0.25">
      <c r="A228" s="3"/>
      <c r="B228" s="2" t="s">
        <v>520</v>
      </c>
      <c r="C228" s="27" t="s">
        <v>528</v>
      </c>
      <c r="D228" s="47"/>
      <c r="E228" s="41" t="str">
        <f t="shared" si="5"/>
        <v>Contact_Info</v>
      </c>
    </row>
    <row r="229" spans="1:5" x14ac:dyDescent="0.25">
      <c r="A229" s="3"/>
      <c r="B229" s="2"/>
      <c r="C229" s="27"/>
      <c r="D229" s="47"/>
      <c r="E229" s="41" t="str">
        <f t="shared" si="5"/>
        <v xml:space="preserve"> </v>
      </c>
    </row>
    <row r="230" spans="1:5" x14ac:dyDescent="0.25">
      <c r="A230" s="22" t="s">
        <v>521</v>
      </c>
      <c r="B230" s="20"/>
      <c r="C230" s="16"/>
      <c r="D230" s="47"/>
      <c r="E230" s="41" t="str">
        <f t="shared" si="5"/>
        <v xml:space="preserve"> </v>
      </c>
    </row>
    <row r="231" spans="1:5" ht="14.25" customHeight="1" x14ac:dyDescent="0.25">
      <c r="A231" s="12"/>
      <c r="B231" s="5" t="s">
        <v>595</v>
      </c>
      <c r="C231" s="35"/>
      <c r="D231" s="47"/>
      <c r="E231" s="41" t="str">
        <f t="shared" si="5"/>
        <v xml:space="preserve"> </v>
      </c>
    </row>
    <row r="232" spans="1:5" ht="14.25" customHeight="1" x14ac:dyDescent="0.25">
      <c r="A232" s="12"/>
      <c r="B232" s="11" t="s">
        <v>594</v>
      </c>
      <c r="C232" s="27" t="s">
        <v>529</v>
      </c>
      <c r="D232" s="47"/>
      <c r="E232" s="41" t="str">
        <f t="shared" si="5"/>
        <v xml:space="preserve">AdminTask_ID  </v>
      </c>
    </row>
    <row r="233" spans="1:5" ht="14.25" customHeight="1" x14ac:dyDescent="0.25">
      <c r="A233" s="12"/>
      <c r="B233" s="11" t="s">
        <v>596</v>
      </c>
      <c r="C233" s="27" t="s">
        <v>530</v>
      </c>
      <c r="D233" s="47"/>
      <c r="E233" s="41" t="str">
        <f t="shared" si="5"/>
        <v xml:space="preserve">AdminTask_Deleted  </v>
      </c>
    </row>
    <row r="234" spans="1:5" ht="14.25" customHeight="1" x14ac:dyDescent="0.25">
      <c r="A234" s="12"/>
      <c r="B234" s="11" t="s">
        <v>597</v>
      </c>
      <c r="C234" s="27" t="s">
        <v>531</v>
      </c>
      <c r="D234" s="47"/>
      <c r="E234" s="41" t="str">
        <f t="shared" si="5"/>
        <v xml:space="preserve">AdminTask_Date  </v>
      </c>
    </row>
    <row r="235" spans="1:5" ht="14.25" customHeight="1" x14ac:dyDescent="0.25">
      <c r="A235" s="12"/>
      <c r="B235" s="11" t="s">
        <v>598</v>
      </c>
      <c r="C235" s="27" t="s">
        <v>532</v>
      </c>
      <c r="D235" s="47"/>
      <c r="E235" s="41" t="str">
        <f t="shared" si="5"/>
        <v xml:space="preserve">AdminTask_Number  </v>
      </c>
    </row>
    <row r="236" spans="1:5" ht="14.25" customHeight="1" x14ac:dyDescent="0.25">
      <c r="A236" s="12"/>
      <c r="B236" s="11" t="s">
        <v>599</v>
      </c>
      <c r="C236" s="27" t="s">
        <v>533</v>
      </c>
      <c r="D236" s="47"/>
      <c r="E236" s="41" t="str">
        <f t="shared" si="5"/>
        <v xml:space="preserve">AdminTask_Completed  </v>
      </c>
    </row>
    <row r="237" spans="1:5" ht="14.25" customHeight="1" x14ac:dyDescent="0.25">
      <c r="A237" s="12"/>
      <c r="B237" s="11" t="s">
        <v>600</v>
      </c>
      <c r="C237" s="27" t="s">
        <v>534</v>
      </c>
      <c r="D237" s="47"/>
      <c r="E237" s="41" t="str">
        <f t="shared" si="5"/>
        <v xml:space="preserve">AdminTask_Author_ID  </v>
      </c>
    </row>
    <row r="238" spans="1:5" ht="14.25" customHeight="1" x14ac:dyDescent="0.25">
      <c r="A238" s="12"/>
      <c r="B238" s="11" t="s">
        <v>601</v>
      </c>
      <c r="C238" s="27" t="s">
        <v>535</v>
      </c>
      <c r="D238" s="47"/>
      <c r="E238" s="41" t="str">
        <f t="shared" si="5"/>
        <v xml:space="preserve">AdminTask_Author  </v>
      </c>
    </row>
    <row r="239" spans="1:5" ht="14.25" customHeight="1" x14ac:dyDescent="0.25">
      <c r="A239" s="12"/>
      <c r="B239" s="11" t="s">
        <v>602</v>
      </c>
      <c r="C239" s="27" t="s">
        <v>536</v>
      </c>
      <c r="D239" s="47"/>
      <c r="E239" s="41" t="str">
        <f t="shared" si="5"/>
        <v xml:space="preserve">AdminTask_Branch_ID  </v>
      </c>
    </row>
    <row r="240" spans="1:5" ht="14.25" customHeight="1" x14ac:dyDescent="0.25">
      <c r="A240" s="12"/>
      <c r="B240" s="11" t="s">
        <v>603</v>
      </c>
      <c r="C240" s="27" t="s">
        <v>537</v>
      </c>
      <c r="D240" s="47"/>
      <c r="E240" s="41" t="str">
        <f t="shared" si="5"/>
        <v xml:space="preserve">AdminTask_Branch  </v>
      </c>
    </row>
    <row r="241" spans="1:5" ht="14.25" customHeight="1" x14ac:dyDescent="0.25">
      <c r="A241" s="12"/>
      <c r="B241" s="11" t="s">
        <v>604</v>
      </c>
      <c r="C241" s="27" t="s">
        <v>538</v>
      </c>
      <c r="D241" s="47"/>
      <c r="E241" s="41" t="str">
        <f t="shared" si="5"/>
        <v xml:space="preserve">AdminTask_Category_ID  </v>
      </c>
    </row>
    <row r="242" spans="1:5" ht="14.25" customHeight="1" x14ac:dyDescent="0.25">
      <c r="A242" s="12"/>
      <c r="B242" s="11" t="s">
        <v>605</v>
      </c>
      <c r="C242" s="27" t="s">
        <v>539</v>
      </c>
      <c r="D242" s="47"/>
      <c r="E242" s="41" t="str">
        <f t="shared" si="5"/>
        <v xml:space="preserve">AdminTask_Category  </v>
      </c>
    </row>
    <row r="243" spans="1:5" ht="14.25" customHeight="1" x14ac:dyDescent="0.25">
      <c r="A243" s="12"/>
      <c r="B243" s="11" t="s">
        <v>606</v>
      </c>
      <c r="C243" s="27" t="s">
        <v>540</v>
      </c>
      <c r="D243" s="47"/>
      <c r="E243" s="41" t="str">
        <f t="shared" si="5"/>
        <v xml:space="preserve">AdminTask_Type_ID  </v>
      </c>
    </row>
    <row r="244" spans="1:5" ht="14.25" customHeight="1" x14ac:dyDescent="0.25">
      <c r="A244" s="12"/>
      <c r="B244" s="11" t="s">
        <v>607</v>
      </c>
      <c r="C244" s="27" t="s">
        <v>541</v>
      </c>
      <c r="D244" s="47"/>
      <c r="E244" s="41" t="str">
        <f t="shared" si="5"/>
        <v xml:space="preserve">AdminTask_Type  </v>
      </c>
    </row>
    <row r="245" spans="1:5" ht="14.25" customHeight="1" x14ac:dyDescent="0.25">
      <c r="A245" s="12"/>
      <c r="B245" s="11" t="s">
        <v>608</v>
      </c>
      <c r="C245" s="27" t="s">
        <v>542</v>
      </c>
      <c r="D245" s="47"/>
      <c r="E245" s="41" t="str">
        <f t="shared" si="5"/>
        <v xml:space="preserve">AdminTask_Description  </v>
      </c>
    </row>
    <row r="246" spans="1:5" ht="14.25" customHeight="1" x14ac:dyDescent="0.25">
      <c r="A246" s="12"/>
      <c r="B246" s="11" t="s">
        <v>609</v>
      </c>
      <c r="C246" s="27" t="s">
        <v>543</v>
      </c>
      <c r="D246" s="47"/>
      <c r="E246" s="41" t="str">
        <f t="shared" si="5"/>
        <v xml:space="preserve">AdminTask_Base_ID  </v>
      </c>
    </row>
    <row r="247" spans="1:5" ht="14.25" customHeight="1" x14ac:dyDescent="0.25">
      <c r="A247" s="12"/>
      <c r="B247" s="11" t="s">
        <v>610</v>
      </c>
      <c r="C247" s="27" t="s">
        <v>544</v>
      </c>
      <c r="D247" s="47"/>
      <c r="E247" s="41" t="str">
        <f t="shared" si="5"/>
        <v xml:space="preserve">AdminTask_Source_Type  </v>
      </c>
    </row>
    <row r="248" spans="1:5" ht="14.25" customHeight="1" x14ac:dyDescent="0.25">
      <c r="A248" s="12"/>
      <c r="B248" s="11" t="s">
        <v>611</v>
      </c>
      <c r="C248" s="27" t="s">
        <v>545</v>
      </c>
      <c r="D248" s="47"/>
      <c r="E248" s="41" t="str">
        <f t="shared" si="5"/>
        <v xml:space="preserve">AdminTask_Source_View  </v>
      </c>
    </row>
    <row r="249" spans="1:5" ht="14.25" customHeight="1" x14ac:dyDescent="0.25">
      <c r="A249" s="12"/>
      <c r="B249" s="11" t="s">
        <v>612</v>
      </c>
      <c r="C249" s="27" t="s">
        <v>546</v>
      </c>
      <c r="D249" s="47"/>
      <c r="E249" s="41" t="str">
        <f t="shared" si="5"/>
        <v xml:space="preserve">AdminTask_Source_ID  </v>
      </c>
    </row>
    <row r="250" spans="1:5" ht="14.25" customHeight="1" x14ac:dyDescent="0.25">
      <c r="A250" s="12"/>
      <c r="B250" s="11" t="s">
        <v>613</v>
      </c>
      <c r="C250" s="27" t="s">
        <v>547</v>
      </c>
      <c r="D250" s="47"/>
      <c r="E250" s="41" t="str">
        <f t="shared" si="5"/>
        <v xml:space="preserve">AdminTask_Client_ID  </v>
      </c>
    </row>
    <row r="251" spans="1:5" ht="14.25" customHeight="1" x14ac:dyDescent="0.25">
      <c r="A251" s="12"/>
      <c r="B251" s="11" t="s">
        <v>614</v>
      </c>
      <c r="C251" s="27" t="s">
        <v>548</v>
      </c>
      <c r="D251" s="47"/>
      <c r="E251" s="41" t="str">
        <f t="shared" si="5"/>
        <v xml:space="preserve">AdminTask_Client  </v>
      </c>
    </row>
    <row r="252" spans="1:5" ht="14.25" customHeight="1" x14ac:dyDescent="0.25">
      <c r="A252" s="12"/>
      <c r="B252" s="11" t="s">
        <v>615</v>
      </c>
      <c r="C252" s="27" t="s">
        <v>549</v>
      </c>
      <c r="D252" s="47"/>
      <c r="E252" s="41" t="str">
        <f t="shared" si="5"/>
        <v xml:space="preserve">AdminTask_Credit_ID  </v>
      </c>
    </row>
    <row r="253" spans="1:5" ht="14.25" customHeight="1" x14ac:dyDescent="0.25">
      <c r="A253" s="12"/>
      <c r="B253" s="11" t="s">
        <v>616</v>
      </c>
      <c r="C253" s="27" t="s">
        <v>550</v>
      </c>
      <c r="D253" s="47"/>
      <c r="E253" s="41" t="str">
        <f t="shared" si="5"/>
        <v xml:space="preserve">AdminTask_Credit  </v>
      </c>
    </row>
    <row r="254" spans="1:5" ht="14.25" customHeight="1" x14ac:dyDescent="0.25">
      <c r="A254" s="12"/>
      <c r="B254" s="11" t="s">
        <v>617</v>
      </c>
      <c r="C254" s="27" t="s">
        <v>551</v>
      </c>
      <c r="D254" s="47"/>
      <c r="E254" s="41" t="str">
        <f t="shared" si="5"/>
        <v xml:space="preserve">AdminTask_Limit_ID  </v>
      </c>
    </row>
    <row r="255" spans="1:5" ht="14.25" customHeight="1" x14ac:dyDescent="0.25">
      <c r="A255" s="12"/>
      <c r="B255" s="11" t="s">
        <v>618</v>
      </c>
      <c r="C255" s="27" t="s">
        <v>552</v>
      </c>
      <c r="D255" s="47"/>
      <c r="E255" s="41" t="str">
        <f t="shared" si="5"/>
        <v xml:space="preserve">AdminTask_Limit  </v>
      </c>
    </row>
    <row r="256" spans="1:5" ht="14.25" customHeight="1" x14ac:dyDescent="0.25">
      <c r="A256" s="12"/>
      <c r="B256" s="11" t="s">
        <v>619</v>
      </c>
      <c r="C256" s="27" t="s">
        <v>555</v>
      </c>
      <c r="D256" s="47"/>
      <c r="E256" s="41" t="str">
        <f t="shared" si="5"/>
        <v>AdminTask_CurrentStatus</v>
      </c>
    </row>
    <row r="257" spans="1:5" ht="14.25" customHeight="1" x14ac:dyDescent="0.25">
      <c r="A257" s="12"/>
      <c r="B257" s="11" t="s">
        <v>620</v>
      </c>
      <c r="C257" s="27" t="s">
        <v>553</v>
      </c>
      <c r="D257" s="47"/>
      <c r="E257" s="41" t="str">
        <f t="shared" si="5"/>
        <v xml:space="preserve">AdminTask_CurrentStatus_ID  </v>
      </c>
    </row>
    <row r="258" spans="1:5" ht="14.25" customHeight="1" x14ac:dyDescent="0.25">
      <c r="A258" s="12"/>
      <c r="B258" s="11" t="s">
        <v>621</v>
      </c>
      <c r="C258" s="27" t="s">
        <v>554</v>
      </c>
      <c r="D258" s="47"/>
      <c r="E258" s="41" t="str">
        <f t="shared" si="5"/>
        <v xml:space="preserve">AdminTask_CompletionDate  </v>
      </c>
    </row>
    <row r="259" spans="1:5" ht="14.25" customHeight="1" x14ac:dyDescent="0.25">
      <c r="A259" s="12"/>
      <c r="B259" s="11" t="s">
        <v>622</v>
      </c>
      <c r="C259" s="27" t="s">
        <v>556</v>
      </c>
      <c r="D259" s="47"/>
      <c r="E259" s="41" t="str">
        <f t="shared" si="5"/>
        <v>AdminTask_CurrentComment</v>
      </c>
    </row>
    <row r="260" spans="1:5" ht="14.25" customHeight="1" x14ac:dyDescent="0.25">
      <c r="A260" s="12"/>
      <c r="B260" s="11" t="s">
        <v>625</v>
      </c>
      <c r="C260" s="27" t="s">
        <v>577</v>
      </c>
      <c r="D260" s="47"/>
      <c r="E260" s="41" t="str">
        <f t="shared" si="5"/>
        <v>AdminTask_TaskCount</v>
      </c>
    </row>
    <row r="261" spans="1:5" ht="14.25" customHeight="1" x14ac:dyDescent="0.25">
      <c r="A261" s="12"/>
      <c r="B261" s="11" t="s">
        <v>626</v>
      </c>
      <c r="C261" s="27" t="s">
        <v>578</v>
      </c>
      <c r="D261" s="47"/>
      <c r="E261" s="41" t="str">
        <f t="shared" si="5"/>
        <v>AdminTask_Priority</v>
      </c>
    </row>
    <row r="262" spans="1:5" ht="14.25" customHeight="1" x14ac:dyDescent="0.25">
      <c r="A262" s="12"/>
      <c r="B262" s="11" t="s">
        <v>627</v>
      </c>
      <c r="C262" s="27" t="s">
        <v>558</v>
      </c>
      <c r="D262" s="47"/>
      <c r="E262" s="41" t="str">
        <f t="shared" si="5"/>
        <v xml:space="preserve">AdminTask_Priority_ID  </v>
      </c>
    </row>
    <row r="263" spans="1:5" ht="14.25" customHeight="1" x14ac:dyDescent="0.25">
      <c r="A263" s="12"/>
      <c r="B263" s="11" t="s">
        <v>628</v>
      </c>
      <c r="C263" s="27" t="s">
        <v>559</v>
      </c>
      <c r="D263" s="47"/>
      <c r="E263" s="41" t="str">
        <f t="shared" si="5"/>
        <v xml:space="preserve">AdminTask_Executor  </v>
      </c>
    </row>
    <row r="264" spans="1:5" ht="14.25" customHeight="1" x14ac:dyDescent="0.25">
      <c r="A264" s="12"/>
      <c r="B264" s="11" t="s">
        <v>638</v>
      </c>
      <c r="C264" s="27" t="s">
        <v>564</v>
      </c>
      <c r="D264" s="47"/>
      <c r="E264" s="41" t="str">
        <f t="shared" si="5"/>
        <v xml:space="preserve">StatusHistory_ID  </v>
      </c>
    </row>
    <row r="265" spans="1:5" ht="14.25" customHeight="1" x14ac:dyDescent="0.25">
      <c r="A265" s="12"/>
      <c r="B265" s="11" t="s">
        <v>639</v>
      </c>
      <c r="C265" s="27" t="s">
        <v>585</v>
      </c>
      <c r="D265" s="47"/>
      <c r="E265" s="41" t="str">
        <f t="shared" si="5"/>
        <v>StatusHistory_RowNumber</v>
      </c>
    </row>
    <row r="266" spans="1:5" ht="14.25" customHeight="1" x14ac:dyDescent="0.25">
      <c r="A266" s="12"/>
      <c r="B266" s="11" t="s">
        <v>619</v>
      </c>
      <c r="C266" s="27" t="s">
        <v>586</v>
      </c>
      <c r="D266" s="47"/>
      <c r="E266" s="41" t="str">
        <f t="shared" si="5"/>
        <v>StatusHistory_Status</v>
      </c>
    </row>
    <row r="267" spans="1:5" ht="14.25" customHeight="1" x14ac:dyDescent="0.25">
      <c r="A267" s="12"/>
      <c r="B267" s="11" t="s">
        <v>640</v>
      </c>
      <c r="C267" s="27" t="s">
        <v>565</v>
      </c>
      <c r="D267" s="47"/>
      <c r="E267" s="41" t="str">
        <f t="shared" si="5"/>
        <v xml:space="preserve">StatusHistory_UserID  </v>
      </c>
    </row>
    <row r="268" spans="1:5" ht="14.25" customHeight="1" x14ac:dyDescent="0.25">
      <c r="A268" s="12"/>
      <c r="B268" s="11" t="s">
        <v>641</v>
      </c>
      <c r="C268" s="27" t="s">
        <v>566</v>
      </c>
      <c r="D268" s="47"/>
      <c r="E268" s="41" t="str">
        <f t="shared" si="5"/>
        <v xml:space="preserve">StatusHistory_User  </v>
      </c>
    </row>
    <row r="269" spans="1:5" ht="14.25" customHeight="1" x14ac:dyDescent="0.25">
      <c r="A269" s="12"/>
      <c r="B269" s="11" t="s">
        <v>642</v>
      </c>
      <c r="C269" s="27" t="s">
        <v>567</v>
      </c>
      <c r="D269" s="47"/>
      <c r="E269" s="41" t="str">
        <f t="shared" si="5"/>
        <v xml:space="preserve">StatusHistory_StartDate  </v>
      </c>
    </row>
    <row r="270" spans="1:5" ht="14.25" customHeight="1" x14ac:dyDescent="0.25">
      <c r="A270" s="12"/>
      <c r="B270" s="11" t="s">
        <v>643</v>
      </c>
      <c r="C270" s="27" t="s">
        <v>568</v>
      </c>
      <c r="D270" s="47"/>
      <c r="E270" s="41" t="str">
        <f t="shared" si="5"/>
        <v xml:space="preserve">StatusHistory_EndDate  </v>
      </c>
    </row>
    <row r="271" spans="1:5" ht="14.25" customHeight="1" x14ac:dyDescent="0.25">
      <c r="A271" s="12"/>
      <c r="B271" s="11" t="s">
        <v>644</v>
      </c>
      <c r="C271" s="27" t="s">
        <v>587</v>
      </c>
      <c r="D271" s="47"/>
      <c r="E271" s="41" t="str">
        <f t="shared" si="5"/>
        <v>StatusHistory_Comment</v>
      </c>
    </row>
    <row r="272" spans="1:5" ht="14.25" customHeight="1" x14ac:dyDescent="0.25">
      <c r="A272" s="12"/>
      <c r="B272" s="11" t="s">
        <v>645</v>
      </c>
      <c r="C272" s="27" t="s">
        <v>588</v>
      </c>
      <c r="D272" s="47"/>
      <c r="E272" s="41" t="str">
        <f t="shared" si="5"/>
        <v>StatusHistory_Seconds</v>
      </c>
    </row>
    <row r="273" spans="1:5" x14ac:dyDescent="0.25">
      <c r="A273" s="12"/>
      <c r="B273" s="11"/>
      <c r="C273" s="27"/>
      <c r="D273" s="49"/>
      <c r="E273" s="41" t="str">
        <f t="shared" si="5"/>
        <v xml:space="preserve"> </v>
      </c>
    </row>
    <row r="274" spans="1:5" x14ac:dyDescent="0.25">
      <c r="A274" s="12"/>
      <c r="B274" s="5" t="s">
        <v>658</v>
      </c>
      <c r="C274" s="27"/>
      <c r="D274" s="49"/>
      <c r="E274" s="41" t="str">
        <f t="shared" si="5"/>
        <v xml:space="preserve"> </v>
      </c>
    </row>
    <row r="275" spans="1:5" ht="14.25" customHeight="1" x14ac:dyDescent="0.25">
      <c r="A275" s="12"/>
      <c r="B275" s="11" t="s">
        <v>623</v>
      </c>
      <c r="C275" s="27" t="s">
        <v>557</v>
      </c>
      <c r="D275" s="47"/>
      <c r="E275" s="41" t="str">
        <f t="shared" si="5"/>
        <v>AdminTask_SLA</v>
      </c>
    </row>
    <row r="276" spans="1:5" ht="14.25" customHeight="1" x14ac:dyDescent="0.25">
      <c r="A276" s="12"/>
      <c r="B276" s="11" t="s">
        <v>624</v>
      </c>
      <c r="C276" s="27" t="s">
        <v>576</v>
      </c>
      <c r="D276" s="47"/>
      <c r="E276" s="41" t="str">
        <f t="shared" si="5"/>
        <v>AdminTask_KPI</v>
      </c>
    </row>
    <row r="277" spans="1:5" ht="14.25" customHeight="1" x14ac:dyDescent="0.25">
      <c r="A277" s="12"/>
      <c r="B277" s="11" t="s">
        <v>629</v>
      </c>
      <c r="C277" s="27" t="s">
        <v>560</v>
      </c>
      <c r="D277" s="47"/>
      <c r="E277" s="41" t="str">
        <f t="shared" si="5"/>
        <v xml:space="preserve">TaskType_Deleted  </v>
      </c>
    </row>
    <row r="278" spans="1:5" ht="14.25" customHeight="1" x14ac:dyDescent="0.25">
      <c r="A278" s="12"/>
      <c r="B278" s="11" t="s">
        <v>630</v>
      </c>
      <c r="C278" s="27" t="s">
        <v>561</v>
      </c>
      <c r="D278" s="47"/>
      <c r="E278" s="41" t="str">
        <f t="shared" si="5"/>
        <v xml:space="preserve">TaskType_Parent_ID  </v>
      </c>
    </row>
    <row r="279" spans="1:5" ht="14.25" customHeight="1" x14ac:dyDescent="0.25">
      <c r="A279" s="12"/>
      <c r="B279" s="11" t="s">
        <v>631</v>
      </c>
      <c r="C279" s="27" t="s">
        <v>579</v>
      </c>
      <c r="D279" s="47"/>
      <c r="E279" s="41" t="str">
        <f t="shared" si="5"/>
        <v>TaskType_IsGroup</v>
      </c>
    </row>
    <row r="280" spans="1:5" ht="14.25" customHeight="1" x14ac:dyDescent="0.25">
      <c r="A280" s="12"/>
      <c r="B280" s="11" t="s">
        <v>632</v>
      </c>
      <c r="C280" s="27" t="s">
        <v>562</v>
      </c>
      <c r="D280" s="47"/>
      <c r="E280" s="41" t="str">
        <f t="shared" si="5"/>
        <v xml:space="preserve">TaskType_Code  </v>
      </c>
    </row>
    <row r="281" spans="1:5" ht="14.25" customHeight="1" x14ac:dyDescent="0.25">
      <c r="A281" s="12"/>
      <c r="B281" s="11" t="s">
        <v>633</v>
      </c>
      <c r="C281" s="27" t="s">
        <v>563</v>
      </c>
      <c r="D281" s="47"/>
      <c r="E281" s="41" t="str">
        <f t="shared" si="5"/>
        <v xml:space="preserve">TaskType_Name  </v>
      </c>
    </row>
    <row r="282" spans="1:5" ht="14.25" customHeight="1" x14ac:dyDescent="0.25">
      <c r="A282" s="12"/>
      <c r="B282" s="11" t="s">
        <v>634</v>
      </c>
      <c r="C282" s="27" t="s">
        <v>580</v>
      </c>
      <c r="D282" s="47"/>
      <c r="E282" s="41" t="str">
        <f t="shared" si="5"/>
        <v>TaskType_Order</v>
      </c>
    </row>
    <row r="283" spans="1:5" ht="14.25" customHeight="1" x14ac:dyDescent="0.25">
      <c r="A283" s="12"/>
      <c r="B283" s="11" t="s">
        <v>623</v>
      </c>
      <c r="C283" s="27" t="s">
        <v>581</v>
      </c>
      <c r="D283" s="47"/>
      <c r="E283" s="41" t="str">
        <f t="shared" si="5"/>
        <v>TaskType_SLA</v>
      </c>
    </row>
    <row r="284" spans="1:5" ht="14.25" customHeight="1" x14ac:dyDescent="0.25">
      <c r="A284" s="12"/>
      <c r="B284" s="11" t="s">
        <v>635</v>
      </c>
      <c r="C284" s="27" t="s">
        <v>582</v>
      </c>
      <c r="D284" s="47"/>
      <c r="E284" s="41" t="str">
        <f t="shared" si="5"/>
        <v>TaskType_KPI</v>
      </c>
    </row>
    <row r="285" spans="1:5" ht="14.25" customHeight="1" x14ac:dyDescent="0.25">
      <c r="A285" s="12"/>
      <c r="B285" s="11" t="s">
        <v>636</v>
      </c>
      <c r="C285" s="27" t="s">
        <v>583</v>
      </c>
      <c r="D285" s="47"/>
      <c r="E285" s="41" t="str">
        <f t="shared" si="5"/>
        <v>TaskType_BlockEditCount</v>
      </c>
    </row>
    <row r="286" spans="1:5" ht="14.25" customHeight="1" x14ac:dyDescent="0.25">
      <c r="A286" s="12"/>
      <c r="B286" s="11" t="s">
        <v>637</v>
      </c>
      <c r="C286" s="27" t="s">
        <v>584</v>
      </c>
      <c r="D286" s="47"/>
      <c r="E286" s="41" t="str">
        <f t="shared" si="5"/>
        <v>TaskType_MaxTime</v>
      </c>
    </row>
    <row r="287" spans="1:5" x14ac:dyDescent="0.25">
      <c r="A287" s="12"/>
      <c r="B287" s="11"/>
      <c r="C287" s="27"/>
      <c r="D287" s="49"/>
      <c r="E287" s="41" t="str">
        <f t="shared" si="5"/>
        <v xml:space="preserve"> </v>
      </c>
    </row>
    <row r="288" spans="1:5" x14ac:dyDescent="0.25">
      <c r="A288" s="12"/>
      <c r="B288" s="5" t="s">
        <v>659</v>
      </c>
      <c r="C288" s="27"/>
      <c r="D288" s="49"/>
      <c r="E288" s="41" t="str">
        <f t="shared" si="5"/>
        <v xml:space="preserve"> </v>
      </c>
    </row>
    <row r="289" spans="1:5" x14ac:dyDescent="0.25">
      <c r="A289" s="12"/>
      <c r="B289" s="11" t="s">
        <v>646</v>
      </c>
      <c r="C289" s="35" t="s">
        <v>569</v>
      </c>
      <c r="D289" s="49"/>
      <c r="E289" s="41" t="str">
        <f t="shared" si="5"/>
        <v xml:space="preserve">СведенияОНаправленияхНаВыплату Направление на Выплату ID  </v>
      </c>
    </row>
    <row r="290" spans="1:5" x14ac:dyDescent="0.25">
      <c r="A290" s="12"/>
      <c r="B290" s="11" t="s">
        <v>647</v>
      </c>
      <c r="C290" s="35" t="s">
        <v>589</v>
      </c>
      <c r="D290" s="49"/>
      <c r="E290" s="41" t="str">
        <f t="shared" si="5"/>
        <v>СведенияОНаправленияхНаВыплату Направление на Выплату</v>
      </c>
    </row>
    <row r="291" spans="1:5" x14ac:dyDescent="0.25">
      <c r="A291" s="12"/>
      <c r="B291" s="11" t="s">
        <v>648</v>
      </c>
      <c r="C291" s="35" t="s">
        <v>590</v>
      </c>
      <c r="D291" s="49"/>
      <c r="E291" s="41" t="str">
        <f t="shared" si="5"/>
        <v>СведенияОНаправленияхНаВыплату SLA</v>
      </c>
    </row>
    <row r="292" spans="1:5" x14ac:dyDescent="0.25">
      <c r="A292" s="12"/>
      <c r="B292" s="11" t="s">
        <v>649</v>
      </c>
      <c r="C292" s="35" t="s">
        <v>591</v>
      </c>
      <c r="D292" s="49"/>
      <c r="E292" s="41" t="str">
        <f t="shared" si="5"/>
        <v>СведенияОНаправленияхНаВыплату Максимальное Время Выполнения</v>
      </c>
    </row>
    <row r="293" spans="1:5" x14ac:dyDescent="0.25">
      <c r="A293" s="12"/>
      <c r="B293" s="11" t="s">
        <v>650</v>
      </c>
      <c r="C293" s="35" t="s">
        <v>570</v>
      </c>
      <c r="D293" s="49"/>
      <c r="E293" s="41" t="str">
        <f t="shared" si="5"/>
        <v xml:space="preserve">СведенияОНаправленияхНаВыплату Дата Создания  </v>
      </c>
    </row>
    <row r="294" spans="1:5" x14ac:dyDescent="0.25">
      <c r="A294" s="12"/>
      <c r="B294" s="11" t="s">
        <v>651</v>
      </c>
      <c r="C294" s="35" t="s">
        <v>571</v>
      </c>
      <c r="D294" s="49"/>
      <c r="E294" s="41" t="str">
        <f t="shared" si="5"/>
        <v xml:space="preserve">СведенияОНаправленияхНаВыплату Дата Взятия в Работу  </v>
      </c>
    </row>
    <row r="295" spans="1:5" x14ac:dyDescent="0.25">
      <c r="A295" s="12"/>
      <c r="B295" s="11" t="s">
        <v>652</v>
      </c>
      <c r="C295" s="35" t="s">
        <v>572</v>
      </c>
      <c r="D295" s="49"/>
      <c r="E295" s="41" t="str">
        <f t="shared" si="5"/>
        <v xml:space="preserve">СведенияОНаправленияхНаВыплату Дата Утверждения  </v>
      </c>
    </row>
    <row r="296" spans="1:5" ht="14.25" customHeight="1" x14ac:dyDescent="0.25">
      <c r="A296" s="12"/>
      <c r="B296" s="11" t="s">
        <v>653</v>
      </c>
      <c r="C296" s="35" t="s">
        <v>573</v>
      </c>
      <c r="D296" s="47"/>
      <c r="E296" s="41" t="str">
        <f t="shared" si="5"/>
        <v xml:space="preserve">СведенияОНаправленияхНаВыплату Дата Пометки Удаления  </v>
      </c>
    </row>
    <row r="297" spans="1:5" ht="14.25" customHeight="1" x14ac:dyDescent="0.25">
      <c r="A297" s="12"/>
      <c r="B297" s="11" t="s">
        <v>654</v>
      </c>
      <c r="C297" s="35" t="s">
        <v>574</v>
      </c>
      <c r="D297" s="47"/>
      <c r="E297" s="41" t="str">
        <f t="shared" si="5"/>
        <v xml:space="preserve">СведенияОНаправленияхНаВыплату Тип Направления на Выплату ID  </v>
      </c>
    </row>
    <row r="298" spans="1:5" ht="14.25" customHeight="1" x14ac:dyDescent="0.25">
      <c r="A298" s="12"/>
      <c r="B298" s="11" t="s">
        <v>655</v>
      </c>
      <c r="C298" s="35" t="s">
        <v>592</v>
      </c>
      <c r="D298" s="47"/>
      <c r="E298" s="41" t="str">
        <f t="shared" si="5"/>
        <v>СведенияОНаправленияхНаВыплату Тип Направления на Выплату</v>
      </c>
    </row>
    <row r="299" spans="1:5" ht="14.25" customHeight="1" x14ac:dyDescent="0.25">
      <c r="A299" s="12"/>
      <c r="B299" s="11"/>
      <c r="C299" s="35"/>
      <c r="D299" s="47"/>
      <c r="E299" s="41" t="str">
        <f t="shared" si="5"/>
        <v xml:space="preserve"> </v>
      </c>
    </row>
    <row r="300" spans="1:5" ht="14.25" customHeight="1" x14ac:dyDescent="0.25">
      <c r="A300" s="12"/>
      <c r="B300" s="5" t="s">
        <v>660</v>
      </c>
      <c r="C300" s="35"/>
      <c r="D300" s="47"/>
      <c r="E300" s="41" t="str">
        <f t="shared" si="5"/>
        <v xml:space="preserve"> </v>
      </c>
    </row>
    <row r="301" spans="1:5" ht="14.25" customHeight="1" x14ac:dyDescent="0.25">
      <c r="A301" s="12"/>
      <c r="B301" s="11" t="s">
        <v>656</v>
      </c>
      <c r="C301" s="35" t="s">
        <v>575</v>
      </c>
      <c r="D301" s="47"/>
      <c r="E301" s="41" t="str">
        <f t="shared" si="5"/>
        <v xml:space="preserve">НаправлениеНаВыплату ID  </v>
      </c>
    </row>
    <row r="302" spans="1:5" ht="14.25" customHeight="1" x14ac:dyDescent="0.25">
      <c r="A302" s="12"/>
      <c r="B302" s="11" t="s">
        <v>657</v>
      </c>
      <c r="C302" s="35" t="s">
        <v>593</v>
      </c>
      <c r="D302" s="47"/>
      <c r="E302" s="41" t="str">
        <f t="shared" si="5"/>
        <v>НаправлениеНаВыплату Категория Риска AML</v>
      </c>
    </row>
    <row r="303" spans="1:5" ht="14.25" customHeight="1" x14ac:dyDescent="0.25">
      <c r="A303" s="12"/>
      <c r="B303" s="11"/>
      <c r="C303" s="35"/>
      <c r="D303" s="47"/>
      <c r="E303" s="41" t="str">
        <f t="shared" si="5"/>
        <v xml:space="preserve"> </v>
      </c>
    </row>
    <row r="304" spans="1:5" x14ac:dyDescent="0.25">
      <c r="A304" s="22" t="s">
        <v>661</v>
      </c>
      <c r="B304" s="20"/>
      <c r="C304" s="16"/>
      <c r="D304" s="47"/>
      <c r="E304" s="41" t="str">
        <f t="shared" ref="E304" si="6">IF(C304&gt;0,IF(D304&gt;0,D304, C304)," ")</f>
        <v xml:space="preserve"> </v>
      </c>
    </row>
    <row r="305" spans="1:5" ht="14.25" customHeight="1" x14ac:dyDescent="0.25">
      <c r="A305" s="12"/>
      <c r="B305" s="11"/>
      <c r="C305" s="35"/>
      <c r="D305" s="47"/>
      <c r="E305" s="41" t="str">
        <f t="shared" si="5"/>
        <v xml:space="preserve"> </v>
      </c>
    </row>
    <row r="306" spans="1:5" ht="14.25" customHeight="1" x14ac:dyDescent="0.25">
      <c r="A306" s="12"/>
      <c r="B306" s="11"/>
      <c r="C306" s="35" t="s">
        <v>662</v>
      </c>
      <c r="D306" s="47"/>
      <c r="E306" s="41" t="str">
        <f t="shared" si="5"/>
        <v>АктыПередачиКредитныхДел Период</v>
      </c>
    </row>
    <row r="307" spans="1:5" ht="14.25" customHeight="1" x14ac:dyDescent="0.25">
      <c r="A307" s="12"/>
      <c r="B307" s="11"/>
      <c r="C307" s="35" t="s">
        <v>663</v>
      </c>
      <c r="D307" s="47"/>
      <c r="E307" s="41" t="str">
        <f t="shared" si="5"/>
        <v xml:space="preserve">АктыПередачиКредитныхДел ID              </v>
      </c>
    </row>
    <row r="308" spans="1:5" ht="14.25" customHeight="1" x14ac:dyDescent="0.25">
      <c r="A308" s="12"/>
      <c r="B308" s="11"/>
      <c r="C308" s="35" t="s">
        <v>664</v>
      </c>
      <c r="D308" s="47"/>
      <c r="E308" s="41" t="str">
        <f t="shared" si="5"/>
        <v xml:space="preserve">АктыПередачиКредитныхДел Номер Строки    </v>
      </c>
    </row>
    <row r="309" spans="1:5" ht="14.25" customHeight="1" x14ac:dyDescent="0.25">
      <c r="A309" s="12"/>
      <c r="B309" s="11"/>
      <c r="C309" s="35" t="s">
        <v>710</v>
      </c>
      <c r="D309" s="47"/>
      <c r="E309" s="41" t="str">
        <f t="shared" si="5"/>
        <v>АктыПередачиКредитныхДел Активность</v>
      </c>
    </row>
    <row r="310" spans="1:5" ht="14.25" customHeight="1" x14ac:dyDescent="0.25">
      <c r="A310" s="12"/>
      <c r="B310" s="11"/>
      <c r="C310" s="35" t="s">
        <v>666</v>
      </c>
      <c r="D310" s="47"/>
      <c r="E310" s="41" t="str">
        <f t="shared" si="5"/>
        <v xml:space="preserve">АктыПередачиКредитныхДел Кредит Tип      </v>
      </c>
    </row>
    <row r="311" spans="1:5" ht="14.25" customHeight="1" x14ac:dyDescent="0.25">
      <c r="A311" s="12"/>
      <c r="B311" s="11"/>
      <c r="C311" s="35" t="s">
        <v>667</v>
      </c>
      <c r="D311" s="47"/>
      <c r="E311" s="41" t="str">
        <f t="shared" si="5"/>
        <v xml:space="preserve">АктыПередачиКредитныхДел Кредит Вид      </v>
      </c>
    </row>
    <row r="312" spans="1:5" ht="14.25" customHeight="1" x14ac:dyDescent="0.25">
      <c r="A312" s="12"/>
      <c r="B312" s="11"/>
      <c r="C312" s="35" t="s">
        <v>668</v>
      </c>
      <c r="D312" s="47"/>
      <c r="E312" s="41" t="str">
        <f t="shared" si="5"/>
        <v xml:space="preserve">АктыПередачиКредитныхДел Кредит ID       </v>
      </c>
    </row>
    <row r="313" spans="1:5" ht="14.25" customHeight="1" x14ac:dyDescent="0.25">
      <c r="A313" s="12"/>
      <c r="B313" s="11"/>
      <c r="C313" s="35" t="s">
        <v>669</v>
      </c>
      <c r="D313" s="47"/>
      <c r="E313" s="41" t="str">
        <f t="shared" si="5"/>
        <v xml:space="preserve">АктыПередачиКредитныхДел Контрагент ID   </v>
      </c>
    </row>
    <row r="314" spans="1:5" ht="14.25" customHeight="1" x14ac:dyDescent="0.25">
      <c r="A314" s="12"/>
      <c r="B314" s="11"/>
      <c r="C314" s="35" t="s">
        <v>670</v>
      </c>
      <c r="D314" s="47"/>
      <c r="E314" s="41" t="str">
        <f t="shared" si="5"/>
        <v xml:space="preserve">АктыПередачиКредитныхДел Контрагент      </v>
      </c>
    </row>
    <row r="315" spans="1:5" ht="14.25" customHeight="1" x14ac:dyDescent="0.25">
      <c r="A315" s="12"/>
      <c r="B315" s="11"/>
      <c r="C315" s="35" t="s">
        <v>671</v>
      </c>
      <c r="D315" s="47"/>
      <c r="E315" s="41" t="str">
        <f t="shared" si="5"/>
        <v xml:space="preserve">АктыПередачиКредитныхДел Вид Акта        </v>
      </c>
    </row>
    <row r="316" spans="1:5" ht="14.25" customHeight="1" x14ac:dyDescent="0.25">
      <c r="A316" s="12"/>
      <c r="B316" s="11"/>
      <c r="C316" s="35" t="s">
        <v>672</v>
      </c>
      <c r="D316" s="47"/>
      <c r="E316" s="41" t="str">
        <f t="shared" si="5"/>
        <v xml:space="preserve">АктыПередачиКредитныхДел Вид Операции Tип  </v>
      </c>
    </row>
    <row r="317" spans="1:5" ht="14.25" customHeight="1" x14ac:dyDescent="0.25">
      <c r="A317" s="12"/>
      <c r="B317" s="11"/>
      <c r="C317" s="35" t="s">
        <v>673</v>
      </c>
      <c r="D317" s="47"/>
      <c r="E317" s="41" t="str">
        <f t="shared" si="5"/>
        <v xml:space="preserve">АктыПередачиКредитныхДел Вид Операции Вид  </v>
      </c>
    </row>
    <row r="318" spans="1:5" ht="14.25" customHeight="1" x14ac:dyDescent="0.25">
      <c r="A318" s="12"/>
      <c r="B318" s="11"/>
      <c r="C318" s="35" t="s">
        <v>674</v>
      </c>
      <c r="D318" s="47"/>
      <c r="E318" s="41" t="str">
        <f t="shared" si="5"/>
        <v xml:space="preserve">АктыПередачиКредитныхДел Вид Операции ID  </v>
      </c>
    </row>
    <row r="319" spans="1:5" ht="14.25" customHeight="1" x14ac:dyDescent="0.25">
      <c r="A319" s="12"/>
      <c r="B319" s="11"/>
      <c r="C319" s="35" t="s">
        <v>675</v>
      </c>
      <c r="D319" s="47"/>
      <c r="E319" s="41" t="str">
        <f t="shared" si="5"/>
        <v xml:space="preserve">АктыПередачиКредитныхДел Вид Операции Документ Tип  </v>
      </c>
    </row>
    <row r="320" spans="1:5" ht="14.25" customHeight="1" x14ac:dyDescent="0.25">
      <c r="A320" s="12"/>
      <c r="B320" s="11"/>
      <c r="C320" s="35" t="s">
        <v>676</v>
      </c>
      <c r="D320" s="47"/>
      <c r="E320" s="41" t="str">
        <f t="shared" si="5"/>
        <v xml:space="preserve">АктыПередачиКредитныхДел Вид Операции Документ Вид  </v>
      </c>
    </row>
    <row r="321" spans="1:5" ht="14.25" customHeight="1" x14ac:dyDescent="0.25">
      <c r="A321" s="12"/>
      <c r="B321" s="11"/>
      <c r="C321" s="35" t="s">
        <v>677</v>
      </c>
      <c r="D321" s="47"/>
      <c r="E321" s="41" t="str">
        <f t="shared" si="5"/>
        <v xml:space="preserve">АктыПередачиКредитныхДел Вид Операции Документ ID  </v>
      </c>
    </row>
    <row r="322" spans="1:5" ht="14.25" customHeight="1" x14ac:dyDescent="0.25">
      <c r="A322" s="12"/>
      <c r="B322" s="11"/>
      <c r="C322" s="35" t="s">
        <v>678</v>
      </c>
      <c r="D322" s="47"/>
      <c r="E322" s="41" t="str">
        <f t="shared" si="5"/>
        <v xml:space="preserve">АктыПередачиКредитныхДел Вид Акта Передачи Кредитных Дел  </v>
      </c>
    </row>
    <row r="323" spans="1:5" ht="14.25" customHeight="1" x14ac:dyDescent="0.25">
      <c r="A323" s="12"/>
      <c r="B323" s="11"/>
      <c r="C323" s="35" t="s">
        <v>679</v>
      </c>
      <c r="D323" s="47"/>
      <c r="E323" s="41" t="str">
        <f t="shared" si="5"/>
        <v xml:space="preserve">АктыПередачиКредитныхДел Статус Досье  </v>
      </c>
    </row>
    <row r="324" spans="1:5" ht="14.25" customHeight="1" x14ac:dyDescent="0.25">
      <c r="A324" s="12"/>
      <c r="B324" s="11"/>
      <c r="C324" s="35" t="s">
        <v>680</v>
      </c>
      <c r="D324" s="47"/>
      <c r="E324" s="41" t="str">
        <f t="shared" si="5"/>
        <v xml:space="preserve">АктыПередачиКредитныхДел Статус Акта  </v>
      </c>
    </row>
    <row r="325" spans="1:5" ht="14.25" customHeight="1" x14ac:dyDescent="0.25">
      <c r="A325" s="12"/>
      <c r="B325" s="11"/>
      <c r="C325" s="35" t="s">
        <v>681</v>
      </c>
      <c r="D325" s="47"/>
      <c r="E325" s="41" t="str">
        <f t="shared" si="5"/>
        <v xml:space="preserve">АктыПередачиКредитныхДел Получатель Tип  </v>
      </c>
    </row>
    <row r="326" spans="1:5" ht="14.25" customHeight="1" x14ac:dyDescent="0.25">
      <c r="A326" s="12"/>
      <c r="B326" s="11"/>
      <c r="C326" s="35" t="s">
        <v>682</v>
      </c>
      <c r="D326" s="47"/>
      <c r="E326" s="41" t="str">
        <f t="shared" si="5"/>
        <v xml:space="preserve">АктыПередачиКредитныхДел Получатель Вид  </v>
      </c>
    </row>
    <row r="327" spans="1:5" ht="14.25" customHeight="1" x14ac:dyDescent="0.25">
      <c r="A327" s="12"/>
      <c r="B327" s="11"/>
      <c r="C327" s="35" t="s">
        <v>683</v>
      </c>
      <c r="D327" s="47"/>
      <c r="E327" s="41" t="str">
        <f t="shared" si="5"/>
        <v xml:space="preserve">АктыПередачиКредитныхДел Получатель ID  </v>
      </c>
    </row>
    <row r="328" spans="1:5" ht="14.25" customHeight="1" x14ac:dyDescent="0.25">
      <c r="A328" s="12"/>
      <c r="B328" s="11"/>
      <c r="C328" s="35" t="s">
        <v>684</v>
      </c>
      <c r="D328" s="47"/>
      <c r="E328" s="41" t="str">
        <f t="shared" si="5"/>
        <v xml:space="preserve">АктыПередачиКредитныхДел Дата Получения  </v>
      </c>
    </row>
    <row r="329" spans="1:5" ht="14.25" customHeight="1" x14ac:dyDescent="0.25">
      <c r="A329" s="12"/>
      <c r="B329" s="11"/>
      <c r="C329" s="35" t="s">
        <v>685</v>
      </c>
      <c r="D329" s="47"/>
      <c r="E329" s="41" t="str">
        <f t="shared" si="5"/>
        <v xml:space="preserve">АктыПередачиКредитныхДел Дата Проверки  </v>
      </c>
    </row>
    <row r="330" spans="1:5" ht="14.25" customHeight="1" x14ac:dyDescent="0.25">
      <c r="A330" s="12"/>
      <c r="B330" s="11"/>
      <c r="C330" s="35" t="s">
        <v>686</v>
      </c>
      <c r="D330" s="47"/>
      <c r="E330" s="41" t="str">
        <f t="shared" si="5"/>
        <v xml:space="preserve">АктыПередачиКредитныхДел Комментарий  </v>
      </c>
    </row>
    <row r="331" spans="1:5" ht="14.25" customHeight="1" x14ac:dyDescent="0.25">
      <c r="A331" s="12"/>
      <c r="B331" s="11"/>
      <c r="C331" s="35" t="s">
        <v>687</v>
      </c>
      <c r="D331" s="47"/>
      <c r="E331" s="41" t="str">
        <f t="shared" si="5"/>
        <v xml:space="preserve">АктыПередачиКредитныхДел Автор ID  </v>
      </c>
    </row>
    <row r="332" spans="1:5" ht="14.25" customHeight="1" x14ac:dyDescent="0.25">
      <c r="A332" s="12"/>
      <c r="B332" s="11"/>
      <c r="C332" s="35" t="s">
        <v>688</v>
      </c>
      <c r="D332" s="47"/>
      <c r="E332" s="41" t="str">
        <f t="shared" si="5"/>
        <v xml:space="preserve">АктыПередачиКредитныхДел Автор  </v>
      </c>
    </row>
    <row r="333" spans="1:5" ht="14.25" customHeight="1" x14ac:dyDescent="0.25">
      <c r="A333" s="12"/>
      <c r="B333" s="11"/>
      <c r="C333" s="35" t="s">
        <v>689</v>
      </c>
      <c r="D333" s="47"/>
      <c r="E333" s="41" t="str">
        <f t="shared" si="5"/>
        <v xml:space="preserve">АктыПередачиКредитныхДел Дедлайн  </v>
      </c>
    </row>
    <row r="334" spans="1:5" ht="14.25" customHeight="1" x14ac:dyDescent="0.25">
      <c r="A334" s="12"/>
      <c r="B334" s="11"/>
      <c r="C334" s="35" t="s">
        <v>690</v>
      </c>
      <c r="D334" s="47"/>
      <c r="E334" s="41" t="str">
        <f t="shared" si="5"/>
        <v xml:space="preserve">ОтветственныеПоКредитнымДелам Период  </v>
      </c>
    </row>
    <row r="335" spans="1:5" ht="14.25" customHeight="1" x14ac:dyDescent="0.25">
      <c r="A335" s="12"/>
      <c r="B335" s="11"/>
      <c r="C335" s="35" t="s">
        <v>691</v>
      </c>
      <c r="D335" s="47"/>
      <c r="E335" s="41" t="str">
        <f t="shared" si="5"/>
        <v xml:space="preserve">ОтветственныеПоКредитнымДелам ID  </v>
      </c>
    </row>
    <row r="336" spans="1:5" ht="14.25" customHeight="1" x14ac:dyDescent="0.25">
      <c r="A336" s="12"/>
      <c r="B336" s="11"/>
      <c r="C336" s="35" t="s">
        <v>692</v>
      </c>
      <c r="D336" s="47"/>
      <c r="E336" s="41" t="str">
        <f t="shared" si="5"/>
        <v xml:space="preserve">ОтветственныеПоКредитнымДелам Номер Строки  </v>
      </c>
    </row>
    <row r="337" spans="1:5" ht="14.25" customHeight="1" x14ac:dyDescent="0.25">
      <c r="A337" s="12"/>
      <c r="B337" s="11"/>
      <c r="C337" s="35" t="s">
        <v>693</v>
      </c>
      <c r="D337" s="47"/>
      <c r="E337" s="41" t="str">
        <f t="shared" si="5"/>
        <v xml:space="preserve">ОтветственныеПоКредитнымДелам Активность  </v>
      </c>
    </row>
    <row r="338" spans="1:5" ht="14.25" customHeight="1" x14ac:dyDescent="0.25">
      <c r="A338" s="12"/>
      <c r="B338" s="11"/>
      <c r="C338" s="35" t="s">
        <v>694</v>
      </c>
      <c r="D338" s="47"/>
      <c r="E338" s="41" t="str">
        <f t="shared" si="5"/>
        <v xml:space="preserve">ОтветственныеПоКредитнымДелам Кредит Tип  </v>
      </c>
    </row>
    <row r="339" spans="1:5" ht="14.25" customHeight="1" x14ac:dyDescent="0.25">
      <c r="A339" s="12"/>
      <c r="B339" s="11"/>
      <c r="C339" s="35" t="s">
        <v>695</v>
      </c>
      <c r="D339" s="47"/>
      <c r="E339" s="41" t="str">
        <f t="shared" si="5"/>
        <v xml:space="preserve">ОтветственныеПоКредитнымДелам Кредит Вид  </v>
      </c>
    </row>
    <row r="340" spans="1:5" ht="14.25" customHeight="1" x14ac:dyDescent="0.25">
      <c r="A340" s="12"/>
      <c r="B340" s="11"/>
      <c r="C340" s="35" t="s">
        <v>696</v>
      </c>
      <c r="D340" s="47"/>
      <c r="E340" s="41" t="str">
        <f t="shared" si="5"/>
        <v xml:space="preserve">ОтветственныеПоКредитнымДелам Кредит ID  </v>
      </c>
    </row>
    <row r="341" spans="1:5" ht="14.25" customHeight="1" x14ac:dyDescent="0.25">
      <c r="A341" s="12"/>
      <c r="B341" s="11"/>
      <c r="C341" s="35" t="s">
        <v>697</v>
      </c>
      <c r="D341" s="47"/>
      <c r="E341" s="41" t="str">
        <f t="shared" si="5"/>
        <v xml:space="preserve">ОтветственныеПоКредитнымДелам Ответственный Tип  </v>
      </c>
    </row>
    <row r="342" spans="1:5" ht="14.25" customHeight="1" x14ac:dyDescent="0.25">
      <c r="A342" s="12"/>
      <c r="B342" s="11"/>
      <c r="C342" s="35" t="s">
        <v>698</v>
      </c>
      <c r="D342" s="47"/>
      <c r="E342" s="41" t="str">
        <f t="shared" si="5"/>
        <v xml:space="preserve">ОтветственныеПоКредитнымДелам Ответственный Вид  </v>
      </c>
    </row>
    <row r="343" spans="1:5" ht="14.25" customHeight="1" x14ac:dyDescent="0.25">
      <c r="A343" s="12"/>
      <c r="B343" s="11"/>
      <c r="C343" s="35" t="s">
        <v>699</v>
      </c>
      <c r="D343" s="47"/>
      <c r="E343" s="41" t="str">
        <f t="shared" si="5"/>
        <v xml:space="preserve">ОтветственныеПоКредитнымДелам Ответственный ID  </v>
      </c>
    </row>
    <row r="344" spans="1:5" ht="14.25" customHeight="1" x14ac:dyDescent="0.25">
      <c r="A344" s="12"/>
      <c r="B344" s="11"/>
      <c r="C344" s="35" t="s">
        <v>700</v>
      </c>
      <c r="D344" s="47"/>
      <c r="E344" s="41" t="str">
        <f t="shared" si="5"/>
        <v xml:space="preserve">ОтветственныеПоКредитнымДелам Дата Проверки  </v>
      </c>
    </row>
    <row r="345" spans="1:5" ht="14.25" customHeight="1" x14ac:dyDescent="0.25">
      <c r="A345" s="12"/>
      <c r="B345" s="11"/>
      <c r="C345" s="35" t="s">
        <v>701</v>
      </c>
      <c r="D345" s="47"/>
      <c r="E345" s="41" t="str">
        <f t="shared" si="5"/>
        <v xml:space="preserve">ОтветственныеПоКредитнымДелам Комментарий  </v>
      </c>
    </row>
    <row r="346" spans="1:5" ht="14.25" customHeight="1" x14ac:dyDescent="0.25">
      <c r="A346" s="12"/>
      <c r="B346" s="11"/>
      <c r="C346" s="35" t="s">
        <v>709</v>
      </c>
      <c r="D346" s="47"/>
      <c r="E346" s="41" t="str">
        <f t="shared" si="5"/>
        <v>ОтветственныеПоКредитнымДелам Телефон</v>
      </c>
    </row>
    <row r="347" spans="1:5" ht="14.25" customHeight="1" x14ac:dyDescent="0.25">
      <c r="A347" s="12"/>
      <c r="B347" s="11"/>
      <c r="C347" s="35" t="s">
        <v>702</v>
      </c>
      <c r="D347" s="47"/>
      <c r="E347" s="41" t="str">
        <f t="shared" si="5"/>
        <v xml:space="preserve">ОтветственныеПоКредитнымДелам Филиал ID  </v>
      </c>
    </row>
    <row r="348" spans="1:5" ht="14.25" customHeight="1" x14ac:dyDescent="0.25">
      <c r="A348" s="12"/>
      <c r="B348" s="11"/>
      <c r="C348" s="35" t="s">
        <v>703</v>
      </c>
      <c r="D348" s="47"/>
      <c r="E348" s="41" t="str">
        <f t="shared" si="5"/>
        <v xml:space="preserve">ОтветственныеПоКредитнымДелам Филиал  </v>
      </c>
    </row>
    <row r="349" spans="1:5" ht="14.25" customHeight="1" x14ac:dyDescent="0.25">
      <c r="A349" s="12"/>
      <c r="B349" s="11"/>
      <c r="C349" s="35" t="s">
        <v>704</v>
      </c>
      <c r="D349" s="47"/>
      <c r="E349" s="41" t="str">
        <f t="shared" si="5"/>
        <v xml:space="preserve">ОтветственныеПоКредитнымДелам Вид Акта Передачи Кредитных Дел  </v>
      </c>
    </row>
    <row r="350" spans="1:5" ht="14.25" customHeight="1" x14ac:dyDescent="0.25">
      <c r="A350" s="12"/>
      <c r="B350" s="11"/>
      <c r="C350" s="35" t="s">
        <v>705</v>
      </c>
      <c r="D350" s="47"/>
      <c r="E350" s="41" t="str">
        <f t="shared" si="5"/>
        <v xml:space="preserve">ОтветственныеПоКредитнымДелам Отправитель ID  </v>
      </c>
    </row>
    <row r="351" spans="1:5" ht="14.25" customHeight="1" x14ac:dyDescent="0.25">
      <c r="A351" s="12"/>
      <c r="B351" s="11"/>
      <c r="C351" s="35" t="s">
        <v>706</v>
      </c>
      <c r="D351" s="47"/>
      <c r="E351" s="41" t="str">
        <f t="shared" si="5"/>
        <v>ОтветственныеПоКредитнымДелам Отправитель</v>
      </c>
    </row>
    <row r="352" spans="1:5" ht="14.25" customHeight="1" x14ac:dyDescent="0.25">
      <c r="A352" s="12"/>
      <c r="B352" s="11"/>
      <c r="C352" s="35" t="s">
        <v>707</v>
      </c>
      <c r="D352" s="47"/>
      <c r="E352" s="41" t="str">
        <f t="shared" si="5"/>
        <v xml:space="preserve">ОтветственныеПоКредитнымДелам Ссылка на Документ ID  </v>
      </c>
    </row>
    <row r="353" spans="1:5" ht="14.25" customHeight="1" x14ac:dyDescent="0.25">
      <c r="A353" s="12"/>
      <c r="B353" s="11"/>
      <c r="C353" s="35" t="s">
        <v>665</v>
      </c>
      <c r="D353" s="47"/>
      <c r="E353" s="41" t="str">
        <f t="shared" si="5"/>
        <v>ОтветственныеПоКредитнымДелам Ссылка на Документ</v>
      </c>
    </row>
    <row r="354" spans="1:5" ht="14.25" customHeight="1" x14ac:dyDescent="0.25">
      <c r="A354" s="12"/>
      <c r="B354" s="11"/>
      <c r="C354" s="35" t="s">
        <v>708</v>
      </c>
      <c r="D354" s="47"/>
      <c r="E354" s="41" t="str">
        <f t="shared" si="5"/>
        <v xml:space="preserve">ОтветственныеПоКредитнымДелам Статус Акта  </v>
      </c>
    </row>
    <row r="355" spans="1:5" ht="14.25" customHeight="1" x14ac:dyDescent="0.25">
      <c r="A355" s="3"/>
      <c r="B355" s="2"/>
      <c r="C355" s="35"/>
      <c r="D355" s="47"/>
      <c r="E355" s="41" t="str">
        <f t="shared" si="5"/>
        <v xml:space="preserve"> </v>
      </c>
    </row>
    <row r="356" spans="1:5" ht="14.25" customHeight="1" x14ac:dyDescent="0.25">
      <c r="A356" s="3"/>
      <c r="B356" s="2"/>
      <c r="C356" s="35"/>
      <c r="D356" s="47"/>
      <c r="E356" s="41" t="str">
        <f t="shared" si="5"/>
        <v xml:space="preserve"> </v>
      </c>
    </row>
    <row r="357" spans="1:5" ht="14.25" customHeight="1" x14ac:dyDescent="0.25">
      <c r="A357" s="3"/>
      <c r="B357" s="2"/>
      <c r="C357" s="35"/>
      <c r="D357" s="47"/>
      <c r="E357" s="41" t="str">
        <f t="shared" si="5"/>
        <v xml:space="preserve"> </v>
      </c>
    </row>
    <row r="358" spans="1:5" ht="14.25" customHeight="1" x14ac:dyDescent="0.25">
      <c r="A358" s="3"/>
      <c r="B358" s="2"/>
      <c r="C358" s="35"/>
      <c r="D358" s="47"/>
      <c r="E358" s="41" t="str">
        <f t="shared" si="5"/>
        <v xml:space="preserve"> </v>
      </c>
    </row>
    <row r="359" spans="1:5" x14ac:dyDescent="0.25">
      <c r="A359" s="3"/>
      <c r="B359" s="2"/>
      <c r="C359" s="36"/>
      <c r="D359" s="47"/>
      <c r="E359" s="41" t="str">
        <f t="shared" si="5"/>
        <v xml:space="preserve"> </v>
      </c>
    </row>
    <row r="360" spans="1:5" x14ac:dyDescent="0.25">
      <c r="A360" s="3"/>
      <c r="B360" s="2"/>
      <c r="C360" s="36"/>
      <c r="D360" s="47"/>
      <c r="E360" s="41" t="str">
        <f t="shared" ref="E360:E368" si="7">IF(C360&gt;0,IF(D360&gt;0,D360, C360)," ")</f>
        <v xml:space="preserve"> </v>
      </c>
    </row>
    <row r="361" spans="1:5" x14ac:dyDescent="0.25">
      <c r="A361" s="3"/>
      <c r="B361" s="2"/>
      <c r="C361" s="36"/>
      <c r="D361" s="47"/>
      <c r="E361" s="41" t="str">
        <f t="shared" si="7"/>
        <v xml:space="preserve"> </v>
      </c>
    </row>
    <row r="362" spans="1:5" x14ac:dyDescent="0.25">
      <c r="A362" s="3"/>
      <c r="B362" s="2"/>
      <c r="C362" s="36"/>
      <c r="D362" s="47"/>
      <c r="E362" s="41" t="str">
        <f t="shared" si="7"/>
        <v xml:space="preserve"> </v>
      </c>
    </row>
    <row r="363" spans="1:5" x14ac:dyDescent="0.25">
      <c r="A363" s="3"/>
      <c r="B363" s="2"/>
      <c r="C363" s="36"/>
      <c r="D363" s="47"/>
      <c r="E363" s="41" t="str">
        <f t="shared" si="7"/>
        <v xml:space="preserve"> </v>
      </c>
    </row>
    <row r="364" spans="1:5" x14ac:dyDescent="0.25">
      <c r="A364" s="3"/>
      <c r="B364" s="2"/>
      <c r="C364" s="36"/>
      <c r="D364" s="47"/>
      <c r="E364" s="41" t="str">
        <f t="shared" si="7"/>
        <v xml:space="preserve"> </v>
      </c>
    </row>
    <row r="365" spans="1:5" x14ac:dyDescent="0.25">
      <c r="A365" s="13"/>
      <c r="B365" s="15"/>
      <c r="C365" s="36"/>
      <c r="D365" s="47"/>
      <c r="E365" s="41" t="str">
        <f t="shared" si="7"/>
        <v xml:space="preserve"> </v>
      </c>
    </row>
    <row r="366" spans="1:5" x14ac:dyDescent="0.25">
      <c r="A366" s="22" t="s">
        <v>36</v>
      </c>
      <c r="B366" s="20" t="s">
        <v>247</v>
      </c>
      <c r="C366" s="36"/>
      <c r="D366" s="47"/>
      <c r="E366" s="41" t="str">
        <f t="shared" si="7"/>
        <v xml:space="preserve"> </v>
      </c>
    </row>
    <row r="367" spans="1:5" x14ac:dyDescent="0.25">
      <c r="A367" s="12"/>
      <c r="B367" s="11" t="s">
        <v>190</v>
      </c>
      <c r="C367" s="36"/>
      <c r="D367" s="47"/>
      <c r="E367" s="41" t="str">
        <f t="shared" si="7"/>
        <v xml:space="preserve"> </v>
      </c>
    </row>
    <row r="368" spans="1:5" x14ac:dyDescent="0.25">
      <c r="A368" s="3"/>
      <c r="B368" s="2" t="s">
        <v>248</v>
      </c>
      <c r="C368" s="36"/>
      <c r="D368" s="47"/>
      <c r="E368" s="41" t="str">
        <f t="shared" si="7"/>
        <v xml:space="preserve"> </v>
      </c>
    </row>
    <row r="369" spans="1:5" x14ac:dyDescent="0.25">
      <c r="A369" s="3"/>
      <c r="B369" s="2" t="s">
        <v>189</v>
      </c>
      <c r="C369" s="37"/>
      <c r="D369" s="47"/>
      <c r="E369" s="41" t="str">
        <f t="shared" ref="E369:E423" si="8">IF(C369&gt;0,IF(D369&gt;0,D369, C369)," ")</f>
        <v xml:space="preserve"> </v>
      </c>
    </row>
    <row r="370" spans="1:5" x14ac:dyDescent="0.25">
      <c r="A370" s="3"/>
      <c r="B370" s="2" t="s">
        <v>188</v>
      </c>
      <c r="C370" s="16"/>
      <c r="D370" s="47"/>
      <c r="E370" s="41" t="str">
        <f t="shared" si="8"/>
        <v xml:space="preserve"> </v>
      </c>
    </row>
    <row r="371" spans="1:5" x14ac:dyDescent="0.25">
      <c r="A371" s="3"/>
      <c r="B371" s="2" t="s">
        <v>187</v>
      </c>
      <c r="C371" s="35" t="s">
        <v>176</v>
      </c>
      <c r="D371" s="47"/>
      <c r="E371" s="41" t="str">
        <f t="shared" si="8"/>
        <v>Period</v>
      </c>
    </row>
    <row r="372" spans="1:5" x14ac:dyDescent="0.25">
      <c r="A372" s="3"/>
      <c r="B372" s="2" t="s">
        <v>186</v>
      </c>
      <c r="C372" s="36" t="s">
        <v>224</v>
      </c>
      <c r="D372" s="47"/>
      <c r="E372" s="41" t="str">
        <f t="shared" si="8"/>
        <v>Registrar_TRef</v>
      </c>
    </row>
    <row r="373" spans="1:5" x14ac:dyDescent="0.25">
      <c r="A373" s="3"/>
      <c r="B373" s="2" t="s">
        <v>185</v>
      </c>
      <c r="C373" s="36" t="s">
        <v>86</v>
      </c>
      <c r="D373" s="47"/>
      <c r="E373" s="41" t="str">
        <f t="shared" si="8"/>
        <v>ID</v>
      </c>
    </row>
    <row r="374" spans="1:5" x14ac:dyDescent="0.25">
      <c r="A374" s="3"/>
      <c r="B374" s="2" t="s">
        <v>62</v>
      </c>
      <c r="C374" s="36" t="s">
        <v>87</v>
      </c>
      <c r="D374" s="47"/>
      <c r="E374" s="41" t="str">
        <f t="shared" si="8"/>
        <v>RowNumber</v>
      </c>
    </row>
    <row r="375" spans="1:5" x14ac:dyDescent="0.25">
      <c r="A375" s="3"/>
      <c r="B375" s="2" t="s">
        <v>184</v>
      </c>
      <c r="C375" s="36" t="s">
        <v>177</v>
      </c>
      <c r="D375" s="47"/>
      <c r="E375" s="41" t="str">
        <f t="shared" si="8"/>
        <v>IsActive</v>
      </c>
    </row>
    <row r="376" spans="1:5" x14ac:dyDescent="0.25">
      <c r="A376" s="3"/>
      <c r="B376" s="2" t="s">
        <v>61</v>
      </c>
      <c r="C376" s="36" t="s">
        <v>178</v>
      </c>
      <c r="D376" s="47"/>
      <c r="E376" s="41" t="str">
        <f t="shared" si="8"/>
        <v>Credit_ID</v>
      </c>
    </row>
    <row r="377" spans="1:5" x14ac:dyDescent="0.25">
      <c r="A377" s="3"/>
      <c r="B377" s="2" t="s">
        <v>183</v>
      </c>
      <c r="C377" s="36" t="s">
        <v>89</v>
      </c>
      <c r="D377" s="47"/>
      <c r="E377" s="41" t="str">
        <f t="shared" si="8"/>
        <v>Credit</v>
      </c>
    </row>
    <row r="378" spans="1:5" x14ac:dyDescent="0.25">
      <c r="A378" s="13"/>
      <c r="B378" s="14"/>
      <c r="C378" s="36" t="s">
        <v>179</v>
      </c>
      <c r="D378" s="47"/>
      <c r="E378" s="41" t="str">
        <f t="shared" si="8"/>
        <v>Filial_ID</v>
      </c>
    </row>
    <row r="379" spans="1:5" x14ac:dyDescent="0.25">
      <c r="A379" s="22" t="s">
        <v>37</v>
      </c>
      <c r="B379" s="20" t="s">
        <v>38</v>
      </c>
      <c r="C379" s="36" t="s">
        <v>180</v>
      </c>
      <c r="D379" s="47"/>
      <c r="E379" s="41" t="str">
        <f t="shared" si="8"/>
        <v>Filial</v>
      </c>
    </row>
    <row r="380" spans="1:5" x14ac:dyDescent="0.25">
      <c r="A380" s="3"/>
      <c r="B380" s="2" t="s">
        <v>361</v>
      </c>
      <c r="C380" s="36" t="s">
        <v>181</v>
      </c>
      <c r="D380" s="47"/>
      <c r="E380" s="41" t="str">
        <f t="shared" si="8"/>
        <v>Expert_ID</v>
      </c>
    </row>
    <row r="381" spans="1:5" x14ac:dyDescent="0.25">
      <c r="A381" s="3"/>
      <c r="B381" s="2" t="s">
        <v>192</v>
      </c>
      <c r="C381" s="36" t="s">
        <v>182</v>
      </c>
      <c r="D381" s="47"/>
      <c r="E381" s="41" t="str">
        <f t="shared" si="8"/>
        <v>Expert</v>
      </c>
    </row>
    <row r="382" spans="1:5" x14ac:dyDescent="0.25">
      <c r="A382" s="3"/>
      <c r="B382" s="2" t="s">
        <v>193</v>
      </c>
      <c r="C382" s="37"/>
      <c r="D382" s="47"/>
      <c r="E382" s="41" t="str">
        <f t="shared" si="8"/>
        <v xml:space="preserve"> </v>
      </c>
    </row>
    <row r="383" spans="1:5" x14ac:dyDescent="0.25">
      <c r="A383" s="3"/>
      <c r="B383" s="2" t="s">
        <v>194</v>
      </c>
      <c r="C383" s="16"/>
      <c r="D383" s="47"/>
      <c r="E383" s="41" t="str">
        <f t="shared" si="8"/>
        <v xml:space="preserve"> </v>
      </c>
    </row>
    <row r="384" spans="1:5" x14ac:dyDescent="0.25">
      <c r="A384" s="3"/>
      <c r="B384" s="2" t="s">
        <v>195</v>
      </c>
      <c r="C384" s="38" t="s">
        <v>361</v>
      </c>
      <c r="D384" s="47"/>
      <c r="E384" s="41" t="str">
        <f t="shared" si="8"/>
        <v>[БюджетПоСотрудникам ID]</v>
      </c>
    </row>
    <row r="385" spans="1:5" x14ac:dyDescent="0.25">
      <c r="A385" s="3"/>
      <c r="B385" s="2" t="s">
        <v>196</v>
      </c>
      <c r="C385" s="38" t="s">
        <v>192</v>
      </c>
      <c r="D385" s="47"/>
      <c r="E385" s="41" t="str">
        <f t="shared" si="8"/>
        <v>[БюджетПоСотрудникам.Сотрудники Сотрудник]</v>
      </c>
    </row>
    <row r="386" spans="1:5" x14ac:dyDescent="0.25">
      <c r="A386" s="3"/>
      <c r="B386" s="2" t="s">
        <v>197</v>
      </c>
      <c r="C386" s="38" t="s">
        <v>193</v>
      </c>
      <c r="D386" s="47"/>
      <c r="E386" s="41" t="str">
        <f t="shared" si="8"/>
        <v>[БюджетПоСотрудникам.Сотрудники Сумма Выдано]</v>
      </c>
    </row>
    <row r="387" spans="1:5" x14ac:dyDescent="0.25">
      <c r="A387" s="3"/>
      <c r="B387" s="2" t="s">
        <v>198</v>
      </c>
      <c r="C387" s="38" t="s">
        <v>194</v>
      </c>
      <c r="D387" s="47"/>
      <c r="E387" s="41" t="str">
        <f t="shared" si="8"/>
        <v>[БюджетПоСотрудникам.Сотрудники Сумма Портфель]</v>
      </c>
    </row>
    <row r="388" spans="1:5" x14ac:dyDescent="0.25">
      <c r="A388" s="3"/>
      <c r="B388" s="2" t="s">
        <v>199</v>
      </c>
      <c r="C388" s="38" t="s">
        <v>195</v>
      </c>
      <c r="D388" s="47"/>
      <c r="E388" s="41" t="str">
        <f t="shared" si="8"/>
        <v>[БюджетПоСотрудникам.Сотрудники Сумма Возмещено]</v>
      </c>
    </row>
    <row r="389" spans="1:5" x14ac:dyDescent="0.25">
      <c r="A389" s="3"/>
      <c r="B389" s="2" t="s">
        <v>200</v>
      </c>
      <c r="C389" s="38" t="s">
        <v>196</v>
      </c>
      <c r="D389" s="47"/>
      <c r="E389" s="41" t="str">
        <f t="shared" si="8"/>
        <v>[БюджетПоСотрудникам.Сотрудники Сумма Оплачено]</v>
      </c>
    </row>
    <row r="390" spans="1:5" x14ac:dyDescent="0.25">
      <c r="A390" s="3"/>
      <c r="B390" s="2" t="s">
        <v>201</v>
      </c>
      <c r="C390" s="38" t="s">
        <v>197</v>
      </c>
      <c r="D390" s="47"/>
      <c r="E390" s="41" t="str">
        <f t="shared" si="8"/>
        <v>[БюджетПоСотрудникам.Сотрудники Количество Выдано]</v>
      </c>
    </row>
    <row r="391" spans="1:5" x14ac:dyDescent="0.25">
      <c r="A391" s="3"/>
      <c r="B391" s="2" t="s">
        <v>202</v>
      </c>
      <c r="C391" s="38" t="s">
        <v>198</v>
      </c>
      <c r="D391" s="47"/>
      <c r="E391" s="41" t="str">
        <f t="shared" si="8"/>
        <v>[БюджетПоСотрудникам.Сотрудники Количество Продвижений Визиты в День]</v>
      </c>
    </row>
    <row r="392" spans="1:5" x14ac:dyDescent="0.25">
      <c r="A392" s="3"/>
      <c r="B392" s="2" t="s">
        <v>203</v>
      </c>
      <c r="C392" s="38" t="s">
        <v>199</v>
      </c>
      <c r="D392" s="47"/>
      <c r="E392" s="41" t="str">
        <f t="shared" si="8"/>
        <v>[БюджетПоСотрудникам.Сотрудники Количество Продвижений Звонки в День]</v>
      </c>
    </row>
    <row r="393" spans="1:5" x14ac:dyDescent="0.25">
      <c r="A393" s="3"/>
      <c r="B393" s="1" t="s">
        <v>39</v>
      </c>
      <c r="C393" s="38" t="s">
        <v>200</v>
      </c>
      <c r="D393" s="47"/>
      <c r="E393" s="41" t="str">
        <f t="shared" si="8"/>
        <v>[БюджетПоСотрудникам.Сотрудники PAR0]</v>
      </c>
    </row>
    <row r="394" spans="1:5" x14ac:dyDescent="0.25">
      <c r="A394" s="3"/>
      <c r="B394" s="2" t="s">
        <v>204</v>
      </c>
      <c r="C394" s="38" t="s">
        <v>201</v>
      </c>
      <c r="D394" s="47"/>
      <c r="E394" s="41" t="str">
        <f t="shared" si="8"/>
        <v>[БюджетПоСотрудникам.Сотрудники PAR30]</v>
      </c>
    </row>
    <row r="395" spans="1:5" x14ac:dyDescent="0.25">
      <c r="A395" s="3"/>
      <c r="B395" s="2" t="s">
        <v>205</v>
      </c>
      <c r="C395" s="38" t="s">
        <v>202</v>
      </c>
      <c r="D395" s="47"/>
      <c r="E395" s="41" t="str">
        <f t="shared" si="8"/>
        <v>[БюджетПоСотрудникам.Сотрудники Финансовый Продукт ID]</v>
      </c>
    </row>
    <row r="396" spans="1:5" x14ac:dyDescent="0.25">
      <c r="A396" s="3"/>
      <c r="B396" s="2" t="s">
        <v>206</v>
      </c>
      <c r="C396" s="38" t="s">
        <v>203</v>
      </c>
      <c r="D396" s="47"/>
      <c r="E396" s="41" t="str">
        <f t="shared" si="8"/>
        <v>[БюджетПоСотрудникам.Сотрудники Финансовый Продукт]</v>
      </c>
    </row>
    <row r="397" spans="1:5" x14ac:dyDescent="0.25">
      <c r="A397" s="3"/>
      <c r="B397" s="2" t="s">
        <v>207</v>
      </c>
      <c r="C397" s="30" t="s">
        <v>39</v>
      </c>
      <c r="D397" s="47"/>
      <c r="E397" s="41" t="str">
        <f t="shared" si="8"/>
        <v>[ATK].[dbo].[Документы.БюджетПоСотрудникам]</v>
      </c>
    </row>
    <row r="398" spans="1:5" x14ac:dyDescent="0.25">
      <c r="A398" s="3"/>
      <c r="B398" s="2" t="s">
        <v>208</v>
      </c>
      <c r="C398" s="38" t="s">
        <v>204</v>
      </c>
      <c r="D398" s="47"/>
      <c r="E398" s="41" t="str">
        <f t="shared" si="8"/>
        <v>[БюджетПоСотрудникам Версия Данных]</v>
      </c>
    </row>
    <row r="399" spans="1:5" x14ac:dyDescent="0.25">
      <c r="A399" s="3"/>
      <c r="B399" s="2" t="s">
        <v>209</v>
      </c>
      <c r="C399" s="38" t="s">
        <v>205</v>
      </c>
      <c r="D399" s="47"/>
      <c r="E399" s="41" t="str">
        <f t="shared" si="8"/>
        <v>[БюджетПоСотрудникам Пометка Удаления]</v>
      </c>
    </row>
    <row r="400" spans="1:5" x14ac:dyDescent="0.25">
      <c r="A400" s="3"/>
      <c r="B400" s="2" t="s">
        <v>210</v>
      </c>
      <c r="C400" s="38" t="s">
        <v>206</v>
      </c>
      <c r="D400" s="47"/>
      <c r="E400" s="41" t="str">
        <f t="shared" si="8"/>
        <v>[БюджетПоСотрудникам Дата]</v>
      </c>
    </row>
    <row r="401" spans="1:5" x14ac:dyDescent="0.25">
      <c r="A401" s="3"/>
      <c r="B401" s="2" t="s">
        <v>211</v>
      </c>
      <c r="C401" s="38" t="s">
        <v>207</v>
      </c>
      <c r="D401" s="47"/>
      <c r="E401" s="41" t="str">
        <f t="shared" si="8"/>
        <v>[БюджетПоСотрудникам Номер]</v>
      </c>
    </row>
    <row r="402" spans="1:5" x14ac:dyDescent="0.25">
      <c r="A402" s="3"/>
      <c r="B402" s="2" t="s">
        <v>212</v>
      </c>
      <c r="C402" s="38" t="s">
        <v>208</v>
      </c>
      <c r="D402" s="47"/>
      <c r="E402" s="41" t="str">
        <f t="shared" si="8"/>
        <v>[БюджетПоСотрудникам Проведен]</v>
      </c>
    </row>
    <row r="403" spans="1:5" x14ac:dyDescent="0.25">
      <c r="A403" s="3"/>
      <c r="B403" s="2" t="s">
        <v>213</v>
      </c>
      <c r="C403" s="38" t="s">
        <v>209</v>
      </c>
      <c r="D403" s="47"/>
      <c r="E403" s="41" t="str">
        <f t="shared" si="8"/>
        <v>[БюджетПоСотрудникам Филиал ID]</v>
      </c>
    </row>
    <row r="404" spans="1:5" x14ac:dyDescent="0.25">
      <c r="A404" s="3"/>
      <c r="B404" s="2" t="s">
        <v>214</v>
      </c>
      <c r="C404" s="38" t="s">
        <v>210</v>
      </c>
      <c r="D404" s="47"/>
      <c r="E404" s="41" t="str">
        <f t="shared" si="8"/>
        <v>[БюджетПоСотрудникам Филиал]</v>
      </c>
    </row>
    <row r="405" spans="1:5" x14ac:dyDescent="0.25">
      <c r="A405" s="3"/>
      <c r="B405" s="2" t="s">
        <v>215</v>
      </c>
      <c r="C405" s="38" t="s">
        <v>211</v>
      </c>
      <c r="D405" s="47"/>
      <c r="E405" s="41" t="str">
        <f t="shared" si="8"/>
        <v>[БюджетПоСотрудникам Комментарий]</v>
      </c>
    </row>
    <row r="406" spans="1:5" x14ac:dyDescent="0.25">
      <c r="A406" s="3"/>
      <c r="B406" s="2" t="s">
        <v>216</v>
      </c>
      <c r="C406" s="38" t="s">
        <v>212</v>
      </c>
      <c r="D406" s="47"/>
      <c r="E406" s="41" t="str">
        <f t="shared" si="8"/>
        <v>[БюджетПоСотрудникам Организация]</v>
      </c>
    </row>
    <row r="407" spans="1:5" x14ac:dyDescent="0.25">
      <c r="A407" s="3"/>
      <c r="B407" s="2" t="s">
        <v>217</v>
      </c>
      <c r="C407" s="38" t="s">
        <v>213</v>
      </c>
      <c r="D407" s="47"/>
      <c r="E407" s="41" t="str">
        <f t="shared" si="8"/>
        <v>[БюджетПоСотрудникам Сумма Выдано Итого]</v>
      </c>
    </row>
    <row r="408" spans="1:5" x14ac:dyDescent="0.25">
      <c r="A408" s="3"/>
      <c r="B408" s="2" t="s">
        <v>218</v>
      </c>
      <c r="C408" s="38" t="s">
        <v>214</v>
      </c>
      <c r="D408" s="47"/>
      <c r="E408" s="41" t="str">
        <f t="shared" si="8"/>
        <v>[БюджетПоСотрудникам Сумма Портфель Итого]</v>
      </c>
    </row>
    <row r="409" spans="1:5" x14ac:dyDescent="0.25">
      <c r="A409" s="3"/>
      <c r="B409" s="2" t="s">
        <v>219</v>
      </c>
      <c r="C409" s="38" t="s">
        <v>215</v>
      </c>
      <c r="D409" s="47"/>
      <c r="E409" s="41" t="str">
        <f t="shared" si="8"/>
        <v>[БюджетПоСотрудникам Сумма Оплачено Итого]</v>
      </c>
    </row>
    <row r="410" spans="1:5" x14ac:dyDescent="0.25">
      <c r="A410" s="3"/>
      <c r="B410" s="2" t="s">
        <v>191</v>
      </c>
      <c r="C410" s="38" t="s">
        <v>216</v>
      </c>
      <c r="D410" s="47"/>
      <c r="E410" s="41" t="str">
        <f t="shared" si="8"/>
        <v>[БюджетПоСотрудникам Сумма Возмещено Итого]</v>
      </c>
    </row>
    <row r="411" spans="1:5" x14ac:dyDescent="0.25">
      <c r="A411" s="13"/>
      <c r="B411" s="14"/>
      <c r="C411" s="38" t="s">
        <v>217</v>
      </c>
      <c r="D411" s="47"/>
      <c r="E411" s="41" t="str">
        <f t="shared" si="8"/>
        <v>[БюджетПоСотрудникам PAR0]</v>
      </c>
    </row>
    <row r="412" spans="1:5" x14ac:dyDescent="0.25">
      <c r="A412" s="22" t="s">
        <v>40</v>
      </c>
      <c r="B412" s="20" t="s">
        <v>42</v>
      </c>
      <c r="C412" s="38" t="s">
        <v>218</v>
      </c>
      <c r="D412" s="47"/>
      <c r="E412" s="41" t="str">
        <f t="shared" si="8"/>
        <v>[БюджетПоСотрудникам PAR30]</v>
      </c>
    </row>
    <row r="413" spans="1:5" x14ac:dyDescent="0.25">
      <c r="A413" s="12"/>
      <c r="B413" s="11" t="s">
        <v>220</v>
      </c>
      <c r="C413" s="38" t="s">
        <v>219</v>
      </c>
      <c r="D413" s="47"/>
      <c r="E413" s="41" t="str">
        <f t="shared" si="8"/>
        <v>[БюджетПоСотрудникам PAR0 Нон Бизнес]</v>
      </c>
    </row>
    <row r="414" spans="1:5" x14ac:dyDescent="0.25">
      <c r="A414" s="3"/>
      <c r="B414" s="2" t="s">
        <v>260</v>
      </c>
      <c r="C414" s="38" t="s">
        <v>191</v>
      </c>
      <c r="D414" s="47"/>
      <c r="E414" s="41" t="str">
        <f t="shared" si="8"/>
        <v>[БюджетПоСотрудникам PAR30 Нон Бизнес]</v>
      </c>
    </row>
    <row r="415" spans="1:5" x14ac:dyDescent="0.25">
      <c r="A415" s="3"/>
      <c r="B415" s="2" t="s">
        <v>261</v>
      </c>
      <c r="C415" s="33"/>
      <c r="D415" s="47"/>
      <c r="E415" s="41" t="str">
        <f t="shared" si="8"/>
        <v xml:space="preserve"> </v>
      </c>
    </row>
    <row r="416" spans="1:5" x14ac:dyDescent="0.25">
      <c r="A416" s="3"/>
      <c r="B416" s="2" t="s">
        <v>262</v>
      </c>
      <c r="C416" s="16"/>
      <c r="D416" s="47"/>
      <c r="E416" s="41" t="str">
        <f t="shared" si="8"/>
        <v xml:space="preserve"> </v>
      </c>
    </row>
    <row r="417" spans="1:5" x14ac:dyDescent="0.25">
      <c r="A417" s="3"/>
      <c r="B417" s="2" t="s">
        <v>263</v>
      </c>
      <c r="C417" s="26" t="s">
        <v>220</v>
      </c>
      <c r="D417" s="47"/>
      <c r="E417" s="41" t="str">
        <f t="shared" si="8"/>
        <v>[ЗаявкаНаКредит ID]</v>
      </c>
    </row>
    <row r="418" spans="1:5" x14ac:dyDescent="0.25">
      <c r="A418" s="3"/>
      <c r="B418" s="2" t="s">
        <v>264</v>
      </c>
      <c r="C418" s="27" t="s">
        <v>260</v>
      </c>
      <c r="D418" s="47"/>
      <c r="E418" s="41" t="str">
        <f t="shared" si="8"/>
        <v>[ЗаявкаНаКредит Дата]</v>
      </c>
    </row>
    <row r="419" spans="1:5" x14ac:dyDescent="0.25">
      <c r="A419" s="3"/>
      <c r="B419" s="2" t="s">
        <v>265</v>
      </c>
      <c r="C419" s="27" t="s">
        <v>261</v>
      </c>
      <c r="D419" s="47"/>
      <c r="E419" s="41" t="str">
        <f t="shared" si="8"/>
        <v>[ЗаявкаНаКредит Номер]</v>
      </c>
    </row>
    <row r="420" spans="1:5" x14ac:dyDescent="0.25">
      <c r="A420" s="3"/>
      <c r="B420" s="2" t="s">
        <v>266</v>
      </c>
      <c r="C420" s="27" t="s">
        <v>262</v>
      </c>
      <c r="D420" s="47"/>
      <c r="E420" s="41" t="str">
        <f t="shared" si="8"/>
        <v>[ЗаявкаНаКредит Проведен]</v>
      </c>
    </row>
    <row r="421" spans="1:5" x14ac:dyDescent="0.25">
      <c r="A421" s="3"/>
      <c r="B421" s="2" t="s">
        <v>267</v>
      </c>
      <c r="C421" s="27" t="s">
        <v>263</v>
      </c>
      <c r="D421" s="47"/>
      <c r="E421" s="41" t="str">
        <f t="shared" si="8"/>
        <v>[ЗаявкаНаКредит Автор]</v>
      </c>
    </row>
    <row r="422" spans="1:5" x14ac:dyDescent="0.25">
      <c r="A422" s="3"/>
      <c r="B422" s="2" t="s">
        <v>268</v>
      </c>
      <c r="C422" s="27" t="s">
        <v>264</v>
      </c>
      <c r="D422" s="47"/>
      <c r="E422" s="41" t="str">
        <f t="shared" si="8"/>
        <v>[ЗаявкаНаКредит Агро]</v>
      </c>
    </row>
    <row r="423" spans="1:5" x14ac:dyDescent="0.25">
      <c r="A423" s="3"/>
      <c r="B423" s="2" t="s">
        <v>269</v>
      </c>
      <c r="C423" s="27" t="s">
        <v>265</v>
      </c>
      <c r="D423" s="47"/>
      <c r="E423" s="41" t="str">
        <f t="shared" si="8"/>
        <v>[ЗаявкаНаКредит Альтернативный Сектор Экономики]</v>
      </c>
    </row>
    <row r="424" spans="1:5" x14ac:dyDescent="0.25">
      <c r="A424" s="3"/>
      <c r="B424" s="2" t="s">
        <v>270</v>
      </c>
      <c r="C424" s="27" t="s">
        <v>266</v>
      </c>
      <c r="D424" s="47"/>
      <c r="E424" s="41" t="str">
        <f t="shared" ref="E424:E487" si="9">IF(C424&gt;0,IF(D424&gt;0,D424, C424)," ")</f>
        <v>[ЗаявкаНаКредит Бизнес Организация]</v>
      </c>
    </row>
    <row r="425" spans="1:5" x14ac:dyDescent="0.25">
      <c r="A425" s="3"/>
      <c r="B425" s="2" t="s">
        <v>271</v>
      </c>
      <c r="C425" s="27" t="s">
        <v>267</v>
      </c>
      <c r="D425" s="47"/>
      <c r="E425" s="41" t="str">
        <f t="shared" si="9"/>
        <v>[ЗаявкаНаКредит Бизнес Сектор Экономики]</v>
      </c>
    </row>
    <row r="426" spans="1:5" x14ac:dyDescent="0.25">
      <c r="A426" s="3"/>
      <c r="B426" s="2" t="s">
        <v>272</v>
      </c>
      <c r="C426" s="27" t="s">
        <v>268</v>
      </c>
      <c r="D426" s="47"/>
      <c r="E426" s="41" t="str">
        <f t="shared" si="9"/>
        <v>[ЗаявкаНаКредит Валюта]</v>
      </c>
    </row>
    <row r="427" spans="1:5" x14ac:dyDescent="0.25">
      <c r="A427" s="3"/>
      <c r="B427" s="2" t="s">
        <v>273</v>
      </c>
      <c r="C427" s="27" t="s">
        <v>269</v>
      </c>
      <c r="D427" s="47"/>
      <c r="E427" s="41" t="str">
        <f t="shared" si="9"/>
        <v>[ЗаявкаНаКредит Вид Заявки]</v>
      </c>
    </row>
    <row r="428" spans="1:5" x14ac:dyDescent="0.25">
      <c r="A428" s="3"/>
      <c r="B428" s="2" t="s">
        <v>274</v>
      </c>
      <c r="C428" s="27" t="s">
        <v>270</v>
      </c>
      <c r="D428" s="47"/>
      <c r="E428" s="41" t="str">
        <f t="shared" si="9"/>
        <v>[ЗаявкаНаКредит Вид Кредитной Истории]</v>
      </c>
    </row>
    <row r="429" spans="1:5" x14ac:dyDescent="0.25">
      <c r="A429" s="3"/>
      <c r="B429" s="2" t="s">
        <v>275</v>
      </c>
      <c r="C429" s="27" t="s">
        <v>271</v>
      </c>
      <c r="D429" s="47"/>
      <c r="E429" s="41" t="str">
        <f t="shared" si="9"/>
        <v>[ЗаявкаНаКредит Вид Обеспечения]</v>
      </c>
    </row>
    <row r="430" spans="1:5" x14ac:dyDescent="0.25">
      <c r="A430" s="3"/>
      <c r="B430" s="2" t="s">
        <v>276</v>
      </c>
      <c r="C430" s="27" t="s">
        <v>272</v>
      </c>
      <c r="D430" s="47"/>
      <c r="E430" s="41" t="str">
        <f t="shared" si="9"/>
        <v>[ЗаявкаНаКредит Вид Отказа]</v>
      </c>
    </row>
    <row r="431" spans="1:5" x14ac:dyDescent="0.25">
      <c r="A431" s="3"/>
      <c r="B431" s="2" t="s">
        <v>277</v>
      </c>
      <c r="C431" s="27" t="s">
        <v>273</v>
      </c>
      <c r="D431" s="47"/>
      <c r="E431" s="41" t="str">
        <f t="shared" si="9"/>
        <v>[ЗаявкаНаКредит Вид Перечисления]</v>
      </c>
    </row>
    <row r="432" spans="1:5" x14ac:dyDescent="0.25">
      <c r="A432" s="3"/>
      <c r="B432" s="2" t="s">
        <v>278</v>
      </c>
      <c r="C432" s="27" t="s">
        <v>274</v>
      </c>
      <c r="D432" s="47"/>
      <c r="E432" s="41" t="str">
        <f t="shared" si="9"/>
        <v>[ЗаявкаНаКредит Вид Реструктуризации Долга]</v>
      </c>
    </row>
    <row r="433" spans="1:5" x14ac:dyDescent="0.25">
      <c r="A433" s="3"/>
      <c r="B433" s="2" t="s">
        <v>279</v>
      </c>
      <c r="C433" s="27" t="s">
        <v>275</v>
      </c>
      <c r="D433" s="47"/>
      <c r="E433" s="41" t="str">
        <f t="shared" si="9"/>
        <v>[ЗаявкаНаКредит Вид Энергетической Эффективности]</v>
      </c>
    </row>
    <row r="434" spans="1:5" x14ac:dyDescent="0.25">
      <c r="A434" s="3"/>
      <c r="B434" s="2" t="s">
        <v>280</v>
      </c>
      <c r="C434" s="27" t="s">
        <v>276</v>
      </c>
      <c r="D434" s="47"/>
      <c r="E434" s="41" t="str">
        <f t="shared" si="9"/>
        <v>[ЗаявкаНаКредит Дилер]</v>
      </c>
    </row>
    <row r="435" spans="1:5" x14ac:dyDescent="0.25">
      <c r="A435" s="3"/>
      <c r="B435" s="2" t="s">
        <v>281</v>
      </c>
      <c r="C435" s="27" t="s">
        <v>277</v>
      </c>
      <c r="D435" s="47"/>
      <c r="E435" s="41" t="str">
        <f t="shared" si="9"/>
        <v>[ЗаявкаНаКредит Заявка Клиента Интернет ID]</v>
      </c>
    </row>
    <row r="436" spans="1:5" x14ac:dyDescent="0.25">
      <c r="A436" s="3"/>
      <c r="B436" s="2" t="s">
        <v>282</v>
      </c>
      <c r="C436" s="27" t="s">
        <v>278</v>
      </c>
      <c r="D436" s="47"/>
      <c r="E436" s="41" t="str">
        <f t="shared" si="9"/>
        <v>[ЗаявкаНаКредит Заявка Клиента Интернет]</v>
      </c>
    </row>
    <row r="437" spans="1:5" x14ac:dyDescent="0.25">
      <c r="A437" s="3"/>
      <c r="B437" s="2" t="s">
        <v>283</v>
      </c>
      <c r="C437" s="27" t="s">
        <v>279</v>
      </c>
      <c r="D437" s="47"/>
      <c r="E437" s="41" t="str">
        <f t="shared" si="9"/>
        <v>[ЗаявкаНаКредит Идентификатор]</v>
      </c>
    </row>
    <row r="438" spans="1:5" x14ac:dyDescent="0.25">
      <c r="A438" s="3"/>
      <c r="B438" s="2" t="s">
        <v>284</v>
      </c>
      <c r="C438" s="27" t="s">
        <v>280</v>
      </c>
      <c r="D438" s="47"/>
      <c r="E438" s="41" t="str">
        <f t="shared" si="9"/>
        <v>[ЗаявкаНаКредит Имя Клиента]</v>
      </c>
    </row>
    <row r="439" spans="1:5" x14ac:dyDescent="0.25">
      <c r="A439" s="3"/>
      <c r="B439" s="2" t="s">
        <v>285</v>
      </c>
      <c r="C439" s="27" t="s">
        <v>281</v>
      </c>
      <c r="D439" s="47"/>
      <c r="E439" s="41" t="str">
        <f t="shared" si="9"/>
        <v>[ЗаявкаНаКредит Категория Цель Кредита]</v>
      </c>
    </row>
    <row r="440" spans="1:5" x14ac:dyDescent="0.25">
      <c r="A440" s="3"/>
      <c r="B440" s="2" t="s">
        <v>286</v>
      </c>
      <c r="C440" s="27" t="s">
        <v>282</v>
      </c>
      <c r="D440" s="47"/>
      <c r="E440" s="41" t="str">
        <f t="shared" si="9"/>
        <v>[ЗаявкаНаКредит Категория Энергетической Эффективности]</v>
      </c>
    </row>
    <row r="441" spans="1:5" x14ac:dyDescent="0.25">
      <c r="A441" s="3"/>
      <c r="B441" s="2" t="s">
        <v>287</v>
      </c>
      <c r="C441" s="27" t="s">
        <v>283</v>
      </c>
      <c r="D441" s="47"/>
      <c r="E441" s="41" t="str">
        <f t="shared" si="9"/>
        <v>[ЗаявкаНаКредит Клиент ID]</v>
      </c>
    </row>
    <row r="442" spans="1:5" x14ac:dyDescent="0.25">
      <c r="A442" s="3"/>
      <c r="B442" s="2" t="s">
        <v>288</v>
      </c>
      <c r="C442" s="27" t="s">
        <v>284</v>
      </c>
      <c r="D442" s="47"/>
      <c r="E442" s="41" t="str">
        <f t="shared" si="9"/>
        <v>[ЗаявкаНаКредит Клиент]</v>
      </c>
    </row>
    <row r="443" spans="1:5" x14ac:dyDescent="0.25">
      <c r="A443" s="3"/>
      <c r="B443" s="2" t="s">
        <v>289</v>
      </c>
      <c r="C443" s="27" t="s">
        <v>285</v>
      </c>
      <c r="D443" s="47"/>
      <c r="E443" s="41" t="str">
        <f t="shared" si="9"/>
        <v>[ЗаявкаНаКредит Количество Членов Семьи Итого]</v>
      </c>
    </row>
    <row r="444" spans="1:5" x14ac:dyDescent="0.25">
      <c r="A444" s="3"/>
      <c r="B444" s="2" t="s">
        <v>290</v>
      </c>
      <c r="C444" s="27" t="s">
        <v>286</v>
      </c>
      <c r="D444" s="47"/>
      <c r="E444" s="41" t="str">
        <f t="shared" si="9"/>
        <v>[ЗаявкаНаКредит Количество Членов Семьи на Иждевении]</v>
      </c>
    </row>
    <row r="445" spans="1:5" x14ac:dyDescent="0.25">
      <c r="A445" s="3"/>
      <c r="B445" s="2" t="s">
        <v>291</v>
      </c>
      <c r="C445" s="27" t="s">
        <v>287</v>
      </c>
      <c r="D445" s="47"/>
      <c r="E445" s="41" t="str">
        <f t="shared" si="9"/>
        <v>[ЗаявкаНаКредит Комитет ID]</v>
      </c>
    </row>
    <row r="446" spans="1:5" x14ac:dyDescent="0.25">
      <c r="A446" s="3"/>
      <c r="B446" s="2" t="s">
        <v>292</v>
      </c>
      <c r="C446" s="27" t="s">
        <v>288</v>
      </c>
      <c r="D446" s="47"/>
      <c r="E446" s="41" t="str">
        <f t="shared" si="9"/>
        <v>[ЗаявкаНаКредит Комитет]</v>
      </c>
    </row>
    <row r="447" spans="1:5" x14ac:dyDescent="0.25">
      <c r="A447" s="3"/>
      <c r="B447" s="2" t="s">
        <v>293</v>
      </c>
      <c r="C447" s="27" t="s">
        <v>289</v>
      </c>
      <c r="D447" s="47"/>
      <c r="E447" s="41" t="str">
        <f t="shared" si="9"/>
        <v>[ЗаявкаНаКредит Кредит ID]</v>
      </c>
    </row>
    <row r="448" spans="1:5" x14ac:dyDescent="0.25">
      <c r="A448" s="3"/>
      <c r="B448" s="2" t="s">
        <v>294</v>
      </c>
      <c r="C448" s="27" t="s">
        <v>290</v>
      </c>
      <c r="D448" s="47"/>
      <c r="E448" s="41" t="str">
        <f t="shared" si="9"/>
        <v>[ЗаявкаНаКредит Кредитный Продукт ID]</v>
      </c>
    </row>
    <row r="449" spans="1:5" x14ac:dyDescent="0.25">
      <c r="A449" s="3"/>
      <c r="B449" s="2" t="s">
        <v>295</v>
      </c>
      <c r="C449" s="27" t="s">
        <v>291</v>
      </c>
      <c r="D449" s="47"/>
      <c r="E449" s="41" t="str">
        <f t="shared" si="9"/>
        <v>[ЗаявкаНаКредит Кредитный Эксперт ID]</v>
      </c>
    </row>
    <row r="450" spans="1:5" x14ac:dyDescent="0.25">
      <c r="A450" s="3"/>
      <c r="B450" s="2" t="s">
        <v>296</v>
      </c>
      <c r="C450" s="27" t="s">
        <v>292</v>
      </c>
      <c r="D450" s="47"/>
      <c r="E450" s="41" t="str">
        <f t="shared" si="9"/>
        <v>[ЗаявкаНаКредит Кредитный Эксперт]</v>
      </c>
    </row>
    <row r="451" spans="1:5" x14ac:dyDescent="0.25">
      <c r="A451" s="3"/>
      <c r="B451" s="2" t="s">
        <v>297</v>
      </c>
      <c r="C451" s="27" t="s">
        <v>293</v>
      </c>
      <c r="D451" s="47"/>
      <c r="E451" s="41" t="str">
        <f t="shared" si="9"/>
        <v>[ЗаявкаНаКредит Причина Отказа]</v>
      </c>
    </row>
    <row r="452" spans="1:5" x14ac:dyDescent="0.25">
      <c r="A452" s="3"/>
      <c r="B452" s="2" t="s">
        <v>298</v>
      </c>
      <c r="C452" s="27" t="s">
        <v>294</v>
      </c>
      <c r="D452" s="47"/>
      <c r="E452" s="41" t="str">
        <f t="shared" si="9"/>
        <v>[ЗаявкаНаКредит Протокол Комитета ID]</v>
      </c>
    </row>
    <row r="453" spans="1:5" x14ac:dyDescent="0.25">
      <c r="A453" s="3"/>
      <c r="B453" s="2" t="s">
        <v>299</v>
      </c>
      <c r="C453" s="27" t="s">
        <v>295</v>
      </c>
      <c r="D453" s="47"/>
      <c r="E453" s="41" t="str">
        <f t="shared" si="9"/>
        <v>[ЗаявкаНаКредит Протокол Комитета]</v>
      </c>
    </row>
    <row r="454" spans="1:5" x14ac:dyDescent="0.25">
      <c r="A454" s="3"/>
      <c r="B454" s="2" t="s">
        <v>300</v>
      </c>
      <c r="C454" s="27" t="s">
        <v>296</v>
      </c>
      <c r="D454" s="47"/>
      <c r="E454" s="41" t="str">
        <f t="shared" si="9"/>
        <v>[ЗаявкаНаКредит Решение Комитета]</v>
      </c>
    </row>
    <row r="455" spans="1:5" x14ac:dyDescent="0.25">
      <c r="A455" s="3"/>
      <c r="B455" s="2" t="s">
        <v>301</v>
      </c>
      <c r="C455" s="27" t="s">
        <v>297</v>
      </c>
      <c r="D455" s="47"/>
      <c r="E455" s="41" t="str">
        <f t="shared" si="9"/>
        <v>[ЗаявкаНаКредит Сектор Экономики]</v>
      </c>
    </row>
    <row r="456" spans="1:5" x14ac:dyDescent="0.25">
      <c r="A456" s="3"/>
      <c r="B456" s="2" t="s">
        <v>302</v>
      </c>
      <c r="C456" s="27" t="s">
        <v>298</v>
      </c>
      <c r="D456" s="47"/>
      <c r="E456" s="41" t="str">
        <f t="shared" si="9"/>
        <v>[ЗаявкаНаКредит Скоринг Финальная Оценка]</v>
      </c>
    </row>
    <row r="457" spans="1:5" x14ac:dyDescent="0.25">
      <c r="A457" s="3"/>
      <c r="B457" s="2" t="s">
        <v>303</v>
      </c>
      <c r="C457" s="27" t="s">
        <v>299</v>
      </c>
      <c r="D457" s="47"/>
      <c r="E457" s="41" t="str">
        <f t="shared" si="9"/>
        <v>[ЗаявкаНаКредит Состояние Заявки]</v>
      </c>
    </row>
    <row r="458" spans="1:5" x14ac:dyDescent="0.25">
      <c r="A458" s="3"/>
      <c r="B458" s="2" t="s">
        <v>304</v>
      </c>
      <c r="C458" s="27" t="s">
        <v>300</v>
      </c>
      <c r="D458" s="47"/>
      <c r="E458" s="41" t="str">
        <f t="shared" si="9"/>
        <v>[ЗаявкаНаКредит Срок Кредита]</v>
      </c>
    </row>
    <row r="459" spans="1:5" x14ac:dyDescent="0.25">
      <c r="A459" s="3"/>
      <c r="B459" s="2" t="s">
        <v>305</v>
      </c>
      <c r="C459" s="27" t="s">
        <v>301</v>
      </c>
      <c r="D459" s="47"/>
      <c r="E459" s="41" t="str">
        <f t="shared" si="9"/>
        <v>[ЗаявкаНаКредит Стаж Работы Общий]</v>
      </c>
    </row>
    <row r="460" spans="1:5" x14ac:dyDescent="0.25">
      <c r="A460" s="3"/>
      <c r="B460" s="2" t="s">
        <v>306</v>
      </c>
      <c r="C460" s="27" t="s">
        <v>302</v>
      </c>
      <c r="D460" s="47"/>
      <c r="E460" s="41" t="str">
        <f t="shared" si="9"/>
        <v>[ЗаявкаНаКредит Сумма Кредита]</v>
      </c>
    </row>
    <row r="461" spans="1:5" x14ac:dyDescent="0.25">
      <c r="A461" s="3"/>
      <c r="B461" s="2" t="s">
        <v>307</v>
      </c>
      <c r="C461" s="27" t="s">
        <v>303</v>
      </c>
      <c r="D461" s="47"/>
      <c r="E461" s="41" t="str">
        <f t="shared" si="9"/>
        <v>[ЗаявкаНаКредит Уровень Финансового Риска]</v>
      </c>
    </row>
    <row r="462" spans="1:5" x14ac:dyDescent="0.25">
      <c r="A462" s="3"/>
      <c r="B462" s="2" t="s">
        <v>308</v>
      </c>
      <c r="C462" s="27" t="s">
        <v>304</v>
      </c>
      <c r="D462" s="47"/>
      <c r="E462" s="41" t="str">
        <f t="shared" si="9"/>
        <v>[ЗаявкаНаКредит Филиал ID]</v>
      </c>
    </row>
    <row r="463" spans="1:5" x14ac:dyDescent="0.25">
      <c r="A463" s="3"/>
      <c r="B463" s="2" t="s">
        <v>309</v>
      </c>
      <c r="C463" s="27" t="s">
        <v>305</v>
      </c>
      <c r="D463" s="47"/>
      <c r="E463" s="41" t="str">
        <f t="shared" si="9"/>
        <v>[ЗаявкаНаКредит Филиал Партнера]</v>
      </c>
    </row>
    <row r="464" spans="1:5" x14ac:dyDescent="0.25">
      <c r="A464" s="13"/>
      <c r="B464" s="15"/>
      <c r="C464" s="27" t="s">
        <v>306</v>
      </c>
      <c r="D464" s="47"/>
      <c r="E464" s="41" t="str">
        <f t="shared" si="9"/>
        <v>[ЗаявкаНаКредит Финансовый Продукт ID]</v>
      </c>
    </row>
    <row r="465" spans="1:5" x14ac:dyDescent="0.25">
      <c r="A465" s="22" t="s">
        <v>41</v>
      </c>
      <c r="B465" s="20" t="s">
        <v>336</v>
      </c>
      <c r="C465" s="27" t="s">
        <v>307</v>
      </c>
      <c r="D465" s="47"/>
      <c r="E465" s="41" t="str">
        <f t="shared" si="9"/>
        <v>[ЗаявкаНаКредит Финансовый Продукт]</v>
      </c>
    </row>
    <row r="466" spans="1:5" x14ac:dyDescent="0.25">
      <c r="A466" s="12"/>
      <c r="B466" s="11" t="s">
        <v>310</v>
      </c>
      <c r="C466" s="27" t="s">
        <v>308</v>
      </c>
      <c r="D466" s="47"/>
      <c r="E466" s="41" t="str">
        <f t="shared" si="9"/>
        <v>[ЗаявкаНаКредит Цель Кредита]</v>
      </c>
    </row>
    <row r="467" spans="1:5" x14ac:dyDescent="0.25">
      <c r="A467" s="3"/>
      <c r="B467" s="2" t="s">
        <v>311</v>
      </c>
      <c r="C467" s="27" t="s">
        <v>309</v>
      </c>
      <c r="D467" s="47"/>
      <c r="E467" s="41" t="str">
        <f t="shared" si="9"/>
        <v>[ЗаявкаНаКредит Это Зеленый Кредит]</v>
      </c>
    </row>
    <row r="468" spans="1:5" x14ac:dyDescent="0.25">
      <c r="A468" s="3"/>
      <c r="B468" s="2" t="s">
        <v>312</v>
      </c>
      <c r="C468" s="28"/>
      <c r="D468" s="47"/>
      <c r="E468" s="41" t="str">
        <f t="shared" si="9"/>
        <v xml:space="preserve"> </v>
      </c>
    </row>
    <row r="469" spans="1:5" x14ac:dyDescent="0.25">
      <c r="A469" s="3"/>
      <c r="B469" s="2" t="s">
        <v>313</v>
      </c>
      <c r="C469" s="16"/>
      <c r="D469" s="47"/>
      <c r="E469" s="41" t="str">
        <f t="shared" si="9"/>
        <v xml:space="preserve"> </v>
      </c>
    </row>
    <row r="470" spans="1:5" x14ac:dyDescent="0.25">
      <c r="A470" s="3"/>
      <c r="B470" s="2" t="s">
        <v>314</v>
      </c>
      <c r="C470" s="26" t="s">
        <v>310</v>
      </c>
      <c r="D470" s="47"/>
      <c r="E470" s="41" t="str">
        <f t="shared" si="9"/>
        <v>[ОбъединеннаяИнтернетЗаявка ID]</v>
      </c>
    </row>
    <row r="471" spans="1:5" x14ac:dyDescent="0.25">
      <c r="A471" s="3"/>
      <c r="B471" s="2" t="s">
        <v>315</v>
      </c>
      <c r="C471" s="27" t="s">
        <v>311</v>
      </c>
      <c r="D471" s="47"/>
      <c r="E471" s="41" t="str">
        <f t="shared" si="9"/>
        <v>[ОбъединеннаяИнтернетЗаявка Дата]</v>
      </c>
    </row>
    <row r="472" spans="1:5" x14ac:dyDescent="0.25">
      <c r="A472" s="3"/>
      <c r="B472" s="2" t="s">
        <v>316</v>
      </c>
      <c r="C472" s="27" t="s">
        <v>312</v>
      </c>
      <c r="D472" s="47"/>
      <c r="E472" s="41" t="str">
        <f t="shared" si="9"/>
        <v>[ОбъединеннаяИнтернетЗаявка Номер]</v>
      </c>
    </row>
    <row r="473" spans="1:5" x14ac:dyDescent="0.25">
      <c r="A473" s="3"/>
      <c r="B473" s="2" t="s">
        <v>317</v>
      </c>
      <c r="C473" s="27" t="s">
        <v>313</v>
      </c>
      <c r="D473" s="47"/>
      <c r="E473" s="41" t="str">
        <f t="shared" si="9"/>
        <v>[ОбъединеннаяИнтернетЗаявка Проведен]</v>
      </c>
    </row>
    <row r="474" spans="1:5" x14ac:dyDescent="0.25">
      <c r="A474" s="3"/>
      <c r="B474" s="2" t="s">
        <v>318</v>
      </c>
      <c r="C474" s="27" t="s">
        <v>314</v>
      </c>
      <c r="D474" s="47"/>
      <c r="E474" s="41" t="str">
        <f t="shared" si="9"/>
        <v>[ОбъединеннаяИнтернетЗаявка Автор ID]</v>
      </c>
    </row>
    <row r="475" spans="1:5" x14ac:dyDescent="0.25">
      <c r="A475" s="3"/>
      <c r="B475" s="2" t="s">
        <v>319</v>
      </c>
      <c r="C475" s="27" t="s">
        <v>315</v>
      </c>
      <c r="D475" s="47"/>
      <c r="E475" s="41" t="str">
        <f t="shared" si="9"/>
        <v>[ОбъединеннаяИнтернетЗаявка Автор]</v>
      </c>
    </row>
    <row r="476" spans="1:5" x14ac:dyDescent="0.25">
      <c r="A476" s="3"/>
      <c r="B476" s="2" t="s">
        <v>320</v>
      </c>
      <c r="C476" s="27" t="s">
        <v>316</v>
      </c>
      <c r="D476" s="47"/>
      <c r="E476" s="41" t="str">
        <f t="shared" si="9"/>
        <v>[ОбъединеннаяИнтернетЗаявка Вид Доходов Онлайн]</v>
      </c>
    </row>
    <row r="477" spans="1:5" x14ac:dyDescent="0.25">
      <c r="A477" s="3"/>
      <c r="B477" s="2" t="s">
        <v>321</v>
      </c>
      <c r="C477" s="27" t="s">
        <v>317</v>
      </c>
      <c r="D477" s="47"/>
      <c r="E477" s="41" t="str">
        <f t="shared" si="9"/>
        <v>[ОбъединеннаяИнтернетЗаявка Вид Интернет Заявки]</v>
      </c>
    </row>
    <row r="478" spans="1:5" x14ac:dyDescent="0.25">
      <c r="A478" s="3"/>
      <c r="B478" s="2" t="s">
        <v>322</v>
      </c>
      <c r="C478" s="27" t="s">
        <v>318</v>
      </c>
      <c r="D478" s="47"/>
      <c r="E478" s="41" t="str">
        <f t="shared" si="9"/>
        <v>[ОбъединеннаяИнтернетЗаявка Возраст]</v>
      </c>
    </row>
    <row r="479" spans="1:5" x14ac:dyDescent="0.25">
      <c r="A479" s="3"/>
      <c r="B479" s="2" t="s">
        <v>323</v>
      </c>
      <c r="C479" s="27" t="s">
        <v>319</v>
      </c>
      <c r="D479" s="47"/>
      <c r="E479" s="41" t="str">
        <f t="shared" si="9"/>
        <v>[ОбъединеннаяИнтернетЗаявка Дата Отправки на Рассмотрение]</v>
      </c>
    </row>
    <row r="480" spans="1:5" x14ac:dyDescent="0.25">
      <c r="A480" s="3"/>
      <c r="B480" s="2" t="s">
        <v>324</v>
      </c>
      <c r="C480" s="27" t="s">
        <v>320</v>
      </c>
      <c r="D480" s="47"/>
      <c r="E480" s="41" t="str">
        <f t="shared" si="9"/>
        <v>[ОбъединеннаяИнтернетЗаявка Заявка на Кредит ID]</v>
      </c>
    </row>
    <row r="481" spans="1:5" x14ac:dyDescent="0.25">
      <c r="A481" s="3"/>
      <c r="B481" s="2" t="s">
        <v>325</v>
      </c>
      <c r="C481" s="27" t="s">
        <v>321</v>
      </c>
      <c r="D481" s="47"/>
      <c r="E481" s="41" t="str">
        <f t="shared" si="9"/>
        <v>[ОбъединеннаяИнтернетЗаявка Заявка на Кредит]</v>
      </c>
    </row>
    <row r="482" spans="1:5" x14ac:dyDescent="0.25">
      <c r="A482" s="3"/>
      <c r="B482" s="2" t="s">
        <v>326</v>
      </c>
      <c r="C482" s="27" t="s">
        <v>322</v>
      </c>
      <c r="D482" s="47"/>
      <c r="E482" s="41" t="str">
        <f t="shared" si="9"/>
        <v>[ОбъединеннаяИнтернетЗаявка Идентификатор]</v>
      </c>
    </row>
    <row r="483" spans="1:5" x14ac:dyDescent="0.25">
      <c r="A483" s="3"/>
      <c r="B483" s="2" t="s">
        <v>327</v>
      </c>
      <c r="C483" s="27" t="s">
        <v>323</v>
      </c>
      <c r="D483" s="47"/>
      <c r="E483" s="41" t="str">
        <f t="shared" si="9"/>
        <v>[ОбъединеннаяИнтернетЗаявка Компания Фиск Код]</v>
      </c>
    </row>
    <row r="484" spans="1:5" x14ac:dyDescent="0.25">
      <c r="A484" s="3"/>
      <c r="B484" s="2" t="s">
        <v>328</v>
      </c>
      <c r="C484" s="27" t="s">
        <v>324</v>
      </c>
      <c r="D484" s="47"/>
      <c r="E484" s="41" t="str">
        <f t="shared" si="9"/>
        <v>[ОбъединеннаяИнтернетЗаявка Консультант Партнера]</v>
      </c>
    </row>
    <row r="485" spans="1:5" x14ac:dyDescent="0.25">
      <c r="A485" s="3"/>
      <c r="B485" s="2" t="s">
        <v>329</v>
      </c>
      <c r="C485" s="27" t="s">
        <v>325</v>
      </c>
      <c r="D485" s="47"/>
      <c r="E485" s="41" t="str">
        <f t="shared" si="9"/>
        <v>[ОбъединеннаяИнтернетЗаявка Кредитный Продукт WEB ID]</v>
      </c>
    </row>
    <row r="486" spans="1:5" x14ac:dyDescent="0.25">
      <c r="A486" s="3"/>
      <c r="B486" s="2" t="s">
        <v>330</v>
      </c>
      <c r="C486" s="27" t="s">
        <v>326</v>
      </c>
      <c r="D486" s="47"/>
      <c r="E486" s="41" t="str">
        <f t="shared" si="9"/>
        <v>[ОбъединеннаяИнтернетЗаявка Кредитный Продукт WEB]</v>
      </c>
    </row>
    <row r="487" spans="1:5" x14ac:dyDescent="0.25">
      <c r="A487" s="3"/>
      <c r="B487" s="2" t="s">
        <v>331</v>
      </c>
      <c r="C487" s="27" t="s">
        <v>327</v>
      </c>
      <c r="D487" s="47"/>
      <c r="E487" s="41" t="str">
        <f t="shared" si="9"/>
        <v>[ОбъединеннаяИнтернетЗаявка Кредитный Эксперт ID]</v>
      </c>
    </row>
    <row r="488" spans="1:5" x14ac:dyDescent="0.25">
      <c r="A488" s="3"/>
      <c r="B488" s="2" t="s">
        <v>332</v>
      </c>
      <c r="C488" s="27" t="s">
        <v>328</v>
      </c>
      <c r="D488" s="47"/>
      <c r="E488" s="41" t="str">
        <f t="shared" ref="E488:E551" si="10">IF(C488&gt;0,IF(D488&gt;0,D488, C488)," ")</f>
        <v>[ОбъединеннаяИнтернетЗаявка Кредитный Эксперт]</v>
      </c>
    </row>
    <row r="489" spans="1:5" x14ac:dyDescent="0.25">
      <c r="A489" s="7"/>
      <c r="B489" s="2" t="s">
        <v>333</v>
      </c>
      <c r="C489" s="27" t="s">
        <v>329</v>
      </c>
      <c r="D489" s="47"/>
      <c r="E489" s="41" t="str">
        <f t="shared" si="10"/>
        <v>[ОбъединеннаяИнтернетЗаявка Номер Телефона Мобильный]</v>
      </c>
    </row>
    <row r="490" spans="1:5" x14ac:dyDescent="0.25">
      <c r="A490" s="3"/>
      <c r="B490" s="2" t="s">
        <v>334</v>
      </c>
      <c r="C490" s="27" t="s">
        <v>330</v>
      </c>
      <c r="D490" s="47"/>
      <c r="E490" s="41" t="str">
        <f t="shared" si="10"/>
        <v>[ОбъединеннаяИнтернетЗаявка Отправлена на Рассмотрение]</v>
      </c>
    </row>
    <row r="491" spans="1:5" x14ac:dyDescent="0.25">
      <c r="A491" s="3"/>
      <c r="B491" s="2" t="s">
        <v>335</v>
      </c>
      <c r="C491" s="27" t="s">
        <v>331</v>
      </c>
      <c r="D491" s="47"/>
      <c r="E491" s="41" t="str">
        <f t="shared" si="10"/>
        <v>[ОбъединеннаяИнтернетЗаявка Пол]</v>
      </c>
    </row>
    <row r="492" spans="1:5" x14ac:dyDescent="0.25">
      <c r="A492" s="3"/>
      <c r="B492" s="1" t="s">
        <v>243</v>
      </c>
      <c r="C492" s="27" t="s">
        <v>332</v>
      </c>
      <c r="D492" s="47"/>
      <c r="E492" s="41" t="str">
        <f t="shared" si="10"/>
        <v>[ОбъединеннаяИнтернетЗаявка Состояние Заявки]</v>
      </c>
    </row>
    <row r="493" spans="1:5" x14ac:dyDescent="0.25">
      <c r="A493" s="3"/>
      <c r="B493" s="2" t="s">
        <v>220</v>
      </c>
      <c r="C493" s="27" t="s">
        <v>333</v>
      </c>
      <c r="D493" s="47"/>
      <c r="E493" s="41" t="str">
        <f t="shared" si="10"/>
        <v>[ОбъединеннаяИнтернетЗаявка Срок Кредита]</v>
      </c>
    </row>
    <row r="494" spans="1:5" x14ac:dyDescent="0.25">
      <c r="A494" s="7"/>
      <c r="B494" s="2" t="s">
        <v>260</v>
      </c>
      <c r="C494" s="27" t="s">
        <v>334</v>
      </c>
      <c r="D494" s="47"/>
      <c r="E494" s="41" t="str">
        <f t="shared" si="10"/>
        <v>[ОбъединеннаяИнтернетЗаявка Сумма Кредита]</v>
      </c>
    </row>
    <row r="495" spans="1:5" x14ac:dyDescent="0.25">
      <c r="A495" s="3"/>
      <c r="B495" s="2" t="s">
        <v>299</v>
      </c>
      <c r="C495" s="27" t="s">
        <v>335</v>
      </c>
      <c r="D495" s="47"/>
      <c r="E495" s="41" t="str">
        <f t="shared" si="10"/>
        <v>[ОбъединеннаяИнтернетЗаявка Филиал ID]</v>
      </c>
    </row>
    <row r="496" spans="1:5" x14ac:dyDescent="0.25">
      <c r="A496" s="3"/>
      <c r="B496" s="2" t="s">
        <v>262</v>
      </c>
      <c r="C496" s="30"/>
      <c r="D496" s="47"/>
      <c r="E496" s="41" t="str">
        <f t="shared" si="10"/>
        <v xml:space="preserve"> </v>
      </c>
    </row>
    <row r="497" spans="1:5" x14ac:dyDescent="0.25">
      <c r="A497" s="3"/>
      <c r="B497" s="2" t="s">
        <v>267</v>
      </c>
      <c r="C497" s="27" t="s">
        <v>220</v>
      </c>
      <c r="D497" s="47"/>
      <c r="E497" s="41" t="str">
        <f t="shared" si="10"/>
        <v>[ЗаявкаНаКредит ID]</v>
      </c>
    </row>
    <row r="498" spans="1:5" x14ac:dyDescent="0.25">
      <c r="A498" s="7"/>
      <c r="B498" s="2" t="s">
        <v>269</v>
      </c>
      <c r="C498" s="27" t="s">
        <v>260</v>
      </c>
      <c r="D498" s="47"/>
      <c r="E498" s="41" t="str">
        <f t="shared" si="10"/>
        <v>[ЗаявкаНаКредит Дата]</v>
      </c>
    </row>
    <row r="499" spans="1:5" x14ac:dyDescent="0.25">
      <c r="A499" s="3"/>
      <c r="B499" s="2" t="s">
        <v>270</v>
      </c>
      <c r="C499" s="27" t="s">
        <v>299</v>
      </c>
      <c r="D499" s="47"/>
      <c r="E499" s="41" t="str">
        <f t="shared" si="10"/>
        <v>[ЗаявкаНаКредит Состояние Заявки]</v>
      </c>
    </row>
    <row r="500" spans="1:5" x14ac:dyDescent="0.25">
      <c r="A500" s="3"/>
      <c r="B500" s="2" t="s">
        <v>289</v>
      </c>
      <c r="C500" s="27" t="s">
        <v>262</v>
      </c>
      <c r="D500" s="47"/>
      <c r="E500" s="41" t="str">
        <f t="shared" si="10"/>
        <v>[ЗаявкаНаКредит Проведен]</v>
      </c>
    </row>
    <row r="501" spans="1:5" x14ac:dyDescent="0.25">
      <c r="A501" s="3"/>
      <c r="B501" s="2" t="s">
        <v>308</v>
      </c>
      <c r="C501" s="27" t="s">
        <v>267</v>
      </c>
      <c r="D501" s="47"/>
      <c r="E501" s="41" t="str">
        <f t="shared" si="10"/>
        <v>[ЗаявкаНаКредит Бизнес Сектор Экономики]</v>
      </c>
    </row>
    <row r="502" spans="1:5" x14ac:dyDescent="0.25">
      <c r="A502" s="7"/>
      <c r="B502" s="2" t="s">
        <v>309</v>
      </c>
      <c r="C502" s="27" t="s">
        <v>269</v>
      </c>
      <c r="D502" s="47"/>
      <c r="E502" s="41" t="str">
        <f t="shared" si="10"/>
        <v>[ЗаявкаНаКредит Вид Заявки]</v>
      </c>
    </row>
    <row r="503" spans="1:5" x14ac:dyDescent="0.25">
      <c r="A503" s="3"/>
      <c r="B503" s="2" t="s">
        <v>283</v>
      </c>
      <c r="C503" s="27" t="s">
        <v>270</v>
      </c>
      <c r="D503" s="47"/>
      <c r="E503" s="41" t="str">
        <f t="shared" si="10"/>
        <v>[ЗаявкаНаКредит Вид Кредитной Истории]</v>
      </c>
    </row>
    <row r="504" spans="1:5" x14ac:dyDescent="0.25">
      <c r="A504" s="3"/>
      <c r="B504" s="2" t="s">
        <v>302</v>
      </c>
      <c r="C504" s="27" t="s">
        <v>289</v>
      </c>
      <c r="D504" s="47"/>
      <c r="E504" s="41" t="str">
        <f t="shared" si="10"/>
        <v>[ЗаявкаНаКредит Кредит ID]</v>
      </c>
    </row>
    <row r="505" spans="1:5" x14ac:dyDescent="0.25">
      <c r="A505" s="13"/>
      <c r="B505" s="15" t="s">
        <v>362</v>
      </c>
      <c r="C505" s="27" t="s">
        <v>308</v>
      </c>
      <c r="D505" s="47"/>
      <c r="E505" s="41" t="str">
        <f t="shared" si="10"/>
        <v>[ЗаявкаНаКредит Цель Кредита]</v>
      </c>
    </row>
    <row r="506" spans="1:5" x14ac:dyDescent="0.25">
      <c r="A506" s="13"/>
      <c r="B506" s="15"/>
      <c r="C506" s="27" t="s">
        <v>309</v>
      </c>
      <c r="D506" s="47"/>
      <c r="E506" s="41" t="str">
        <f t="shared" si="10"/>
        <v>[ЗаявкаНаКредит Это Зеленый Кредит]</v>
      </c>
    </row>
    <row r="507" spans="1:5" x14ac:dyDescent="0.25">
      <c r="A507" s="22" t="s">
        <v>44</v>
      </c>
      <c r="B507" s="17"/>
      <c r="C507" s="27" t="s">
        <v>283</v>
      </c>
      <c r="D507" s="47"/>
      <c r="E507" s="41" t="str">
        <f t="shared" si="10"/>
        <v>[ЗаявкаНаКредит Клиент ID]</v>
      </c>
    </row>
    <row r="508" spans="1:5" x14ac:dyDescent="0.25">
      <c r="A508" s="12"/>
      <c r="B508" s="5" t="s">
        <v>225</v>
      </c>
      <c r="C508" s="27" t="s">
        <v>302</v>
      </c>
      <c r="D508" s="47"/>
      <c r="E508" s="41" t="str">
        <f t="shared" si="10"/>
        <v>[ЗаявкаНаКредит Сумма Кредита]</v>
      </c>
    </row>
    <row r="509" spans="1:5" x14ac:dyDescent="0.25">
      <c r="A509" s="3"/>
      <c r="B509" s="2" t="s">
        <v>78</v>
      </c>
      <c r="C509" s="28" t="s">
        <v>362</v>
      </c>
      <c r="D509" s="47"/>
      <c r="E509" s="41" t="str">
        <f t="shared" si="10"/>
        <v xml:space="preserve">[ЗаявкаНаКредит Причина Отказа] </v>
      </c>
    </row>
    <row r="510" spans="1:5" x14ac:dyDescent="0.25">
      <c r="A510" s="3"/>
      <c r="B510" s="2" t="s">
        <v>223</v>
      </c>
      <c r="C510" s="28"/>
      <c r="D510" s="47"/>
      <c r="E510" s="41" t="str">
        <f t="shared" si="10"/>
        <v xml:space="preserve"> </v>
      </c>
    </row>
    <row r="511" spans="1:5" x14ac:dyDescent="0.25">
      <c r="A511" s="3"/>
      <c r="B511" s="2" t="s">
        <v>79</v>
      </c>
      <c r="C511" s="21"/>
      <c r="D511" s="47"/>
      <c r="E511" s="41" t="str">
        <f t="shared" si="10"/>
        <v xml:space="preserve"> </v>
      </c>
    </row>
    <row r="512" spans="1:5" x14ac:dyDescent="0.25">
      <c r="A512" s="3"/>
      <c r="B512" s="2" t="s">
        <v>80</v>
      </c>
      <c r="C512" s="39"/>
      <c r="D512" s="47"/>
      <c r="E512" s="41" t="str">
        <f t="shared" si="10"/>
        <v xml:space="preserve"> </v>
      </c>
    </row>
    <row r="513" spans="1:5" x14ac:dyDescent="0.25">
      <c r="A513" s="3"/>
      <c r="B513" s="2" t="s">
        <v>81</v>
      </c>
      <c r="C513" s="27" t="s">
        <v>176</v>
      </c>
      <c r="D513" s="47"/>
      <c r="E513" s="41" t="str">
        <f t="shared" si="10"/>
        <v>Period</v>
      </c>
    </row>
    <row r="514" spans="1:5" x14ac:dyDescent="0.25">
      <c r="A514" s="3"/>
      <c r="B514" s="2" t="s">
        <v>56</v>
      </c>
      <c r="C514" s="27" t="s">
        <v>222</v>
      </c>
      <c r="D514" s="47"/>
      <c r="E514" s="41" t="str">
        <f t="shared" si="10"/>
        <v>Registrar_Tref</v>
      </c>
    </row>
    <row r="515" spans="1:5" x14ac:dyDescent="0.25">
      <c r="A515" s="3"/>
      <c r="B515" s="2" t="s">
        <v>82</v>
      </c>
      <c r="C515" s="27" t="s">
        <v>86</v>
      </c>
      <c r="D515" s="47"/>
      <c r="E515" s="41" t="str">
        <f t="shared" si="10"/>
        <v>ID</v>
      </c>
    </row>
    <row r="516" spans="1:5" x14ac:dyDescent="0.25">
      <c r="A516" s="3"/>
      <c r="B516" s="2" t="s">
        <v>83</v>
      </c>
      <c r="C516" s="27" t="s">
        <v>87</v>
      </c>
      <c r="D516" s="47"/>
      <c r="E516" s="41" t="str">
        <f t="shared" si="10"/>
        <v>RowNumber</v>
      </c>
    </row>
    <row r="517" spans="1:5" x14ac:dyDescent="0.25">
      <c r="A517" s="3"/>
      <c r="B517" s="2" t="s">
        <v>55</v>
      </c>
      <c r="C517" s="27" t="s">
        <v>88</v>
      </c>
      <c r="D517" s="47"/>
      <c r="E517" s="41" t="str">
        <f t="shared" si="10"/>
        <v>Active</v>
      </c>
    </row>
    <row r="518" spans="1:5" x14ac:dyDescent="0.25">
      <c r="A518" s="3"/>
      <c r="B518" s="2" t="s">
        <v>84</v>
      </c>
      <c r="C518" s="27" t="s">
        <v>50</v>
      </c>
      <c r="D518" s="47"/>
      <c r="E518" s="41" t="str">
        <f t="shared" si="10"/>
        <v>CreditID</v>
      </c>
    </row>
    <row r="519" spans="1:5" x14ac:dyDescent="0.25">
      <c r="A519" s="3"/>
      <c r="B519" s="2" t="s">
        <v>85</v>
      </c>
      <c r="C519" s="27" t="s">
        <v>89</v>
      </c>
      <c r="D519" s="47"/>
      <c r="E519" s="41" t="str">
        <f t="shared" si="10"/>
        <v>Credit</v>
      </c>
    </row>
    <row r="520" spans="1:5" x14ac:dyDescent="0.25">
      <c r="A520" s="13"/>
      <c r="B520" s="14"/>
      <c r="C520" s="27" t="s">
        <v>10</v>
      </c>
      <c r="D520" s="47"/>
      <c r="E520" s="41" t="str">
        <f t="shared" si="10"/>
        <v>BranchID</v>
      </c>
    </row>
    <row r="521" spans="1:5" x14ac:dyDescent="0.25">
      <c r="A521" s="22" t="s">
        <v>45</v>
      </c>
      <c r="B521" s="17"/>
      <c r="C521" s="27" t="s">
        <v>90</v>
      </c>
      <c r="D521" s="47"/>
      <c r="E521" s="41" t="str">
        <f t="shared" si="10"/>
        <v>Branch</v>
      </c>
    </row>
    <row r="522" spans="1:5" x14ac:dyDescent="0.25">
      <c r="A522" s="12"/>
      <c r="B522" s="5" t="s">
        <v>353</v>
      </c>
      <c r="C522" s="27" t="s">
        <v>91</v>
      </c>
      <c r="D522" s="47"/>
      <c r="E522" s="41" t="str">
        <f t="shared" si="10"/>
        <v>CreditExpertID</v>
      </c>
    </row>
    <row r="523" spans="1:5" x14ac:dyDescent="0.25">
      <c r="A523" s="3"/>
      <c r="B523" s="2" t="s">
        <v>73</v>
      </c>
      <c r="C523" s="27" t="s">
        <v>92</v>
      </c>
      <c r="D523" s="47"/>
      <c r="E523" s="41" t="str">
        <f t="shared" si="10"/>
        <v>CreditExpert</v>
      </c>
    </row>
    <row r="524" spans="1:5" x14ac:dyDescent="0.25">
      <c r="A524" s="3"/>
      <c r="B524" s="2" t="s">
        <v>74</v>
      </c>
      <c r="C524" s="28"/>
      <c r="D524" s="47"/>
      <c r="E524" s="41" t="str">
        <f t="shared" si="10"/>
        <v xml:space="preserve"> </v>
      </c>
    </row>
    <row r="525" spans="1:5" x14ac:dyDescent="0.25">
      <c r="A525" s="3"/>
      <c r="B525" s="2" t="s">
        <v>75</v>
      </c>
      <c r="C525" s="21"/>
      <c r="D525" s="47"/>
      <c r="E525" s="41" t="str">
        <f t="shared" si="10"/>
        <v xml:space="preserve"> </v>
      </c>
    </row>
    <row r="526" spans="1:5" x14ac:dyDescent="0.25">
      <c r="A526" s="3"/>
      <c r="B526" s="2" t="s">
        <v>76</v>
      </c>
      <c r="C526" s="39"/>
      <c r="D526" s="47"/>
      <c r="E526" s="41" t="str">
        <f t="shared" si="10"/>
        <v xml:space="preserve"> </v>
      </c>
    </row>
    <row r="527" spans="1:5" x14ac:dyDescent="0.25">
      <c r="A527" s="3"/>
      <c r="B527" s="2" t="s">
        <v>77</v>
      </c>
      <c r="C527" s="27" t="s">
        <v>50</v>
      </c>
      <c r="D527" s="47"/>
      <c r="E527" s="41" t="str">
        <f t="shared" si="10"/>
        <v>CreditID</v>
      </c>
    </row>
    <row r="528" spans="1:5" x14ac:dyDescent="0.25">
      <c r="A528" s="3"/>
      <c r="B528" s="1" t="s">
        <v>354</v>
      </c>
      <c r="C528" s="27" t="s">
        <v>65</v>
      </c>
      <c r="D528" s="47"/>
      <c r="E528" s="41" t="str">
        <f t="shared" si="10"/>
        <v>DisbursementDate</v>
      </c>
    </row>
    <row r="529" spans="1:5" x14ac:dyDescent="0.25">
      <c r="A529" s="3"/>
      <c r="B529" s="2" t="s">
        <v>46</v>
      </c>
      <c r="C529" s="27" t="s">
        <v>66</v>
      </c>
      <c r="D529" s="47"/>
      <c r="E529" s="41" t="str">
        <f t="shared" si="10"/>
        <v>CurrencyID</v>
      </c>
    </row>
    <row r="530" spans="1:5" x14ac:dyDescent="0.25">
      <c r="A530" s="7"/>
      <c r="B530" s="1" t="s">
        <v>247</v>
      </c>
      <c r="C530" s="27" t="s">
        <v>67</v>
      </c>
      <c r="D530" s="47"/>
      <c r="E530" s="41" t="str">
        <f t="shared" si="10"/>
        <v>CreditAmount</v>
      </c>
    </row>
    <row r="531" spans="1:5" x14ac:dyDescent="0.25">
      <c r="A531" s="3"/>
      <c r="B531" s="2" t="s">
        <v>62</v>
      </c>
      <c r="C531" s="27" t="s">
        <v>68</v>
      </c>
      <c r="D531" s="47"/>
      <c r="E531" s="41" t="str">
        <f t="shared" si="10"/>
        <v>CreditCurrency</v>
      </c>
    </row>
    <row r="532" spans="1:5" x14ac:dyDescent="0.25">
      <c r="A532" s="3"/>
      <c r="B532" s="2" t="s">
        <v>61</v>
      </c>
      <c r="C532" s="27"/>
      <c r="D532" s="47"/>
      <c r="E532" s="41" t="str">
        <f t="shared" si="10"/>
        <v xml:space="preserve"> </v>
      </c>
    </row>
    <row r="533" spans="1:5" x14ac:dyDescent="0.25">
      <c r="A533" s="3"/>
      <c r="B533" s="1" t="s">
        <v>356</v>
      </c>
      <c r="C533" s="27" t="s">
        <v>8</v>
      </c>
      <c r="D533" s="47"/>
      <c r="E533" s="41" t="str">
        <f t="shared" si="10"/>
        <v>ClientID</v>
      </c>
    </row>
    <row r="534" spans="1:5" x14ac:dyDescent="0.25">
      <c r="A534" s="3"/>
      <c r="B534" s="2" t="s">
        <v>57</v>
      </c>
      <c r="C534" s="27"/>
      <c r="D534" s="47"/>
      <c r="E534" s="41" t="str">
        <f t="shared" si="10"/>
        <v xml:space="preserve"> </v>
      </c>
    </row>
    <row r="535" spans="1:5" x14ac:dyDescent="0.25">
      <c r="A535" s="3"/>
      <c r="B535" s="2" t="s">
        <v>72</v>
      </c>
      <c r="C535" s="27" t="s">
        <v>69</v>
      </c>
      <c r="D535" s="47"/>
      <c r="E535" s="41" t="str">
        <f t="shared" si="10"/>
        <v>FirstFilialID</v>
      </c>
    </row>
    <row r="536" spans="1:5" x14ac:dyDescent="0.25">
      <c r="A536" s="3"/>
      <c r="B536" s="2" t="s">
        <v>355</v>
      </c>
      <c r="C536" s="27" t="s">
        <v>70</v>
      </c>
      <c r="D536" s="47"/>
      <c r="E536" s="41" t="str">
        <f t="shared" si="10"/>
        <v>FirstExpertID</v>
      </c>
    </row>
    <row r="537" spans="1:5" x14ac:dyDescent="0.25">
      <c r="A537" s="3"/>
      <c r="B537" s="1" t="s">
        <v>358</v>
      </c>
      <c r="C537" s="27" t="s">
        <v>52</v>
      </c>
      <c r="D537" s="47"/>
      <c r="E537" s="41" t="str">
        <f t="shared" si="10"/>
        <v>IRR</v>
      </c>
    </row>
    <row r="538" spans="1:5" x14ac:dyDescent="0.25">
      <c r="A538" s="3"/>
      <c r="B538" s="2" t="s">
        <v>359</v>
      </c>
      <c r="C538" s="27" t="s">
        <v>71</v>
      </c>
      <c r="D538" s="47"/>
      <c r="E538" s="41" t="str">
        <f t="shared" si="10"/>
        <v>IRR_Client</v>
      </c>
    </row>
    <row r="539" spans="1:5" x14ac:dyDescent="0.25">
      <c r="A539" s="3"/>
      <c r="B539" s="2" t="s">
        <v>360</v>
      </c>
      <c r="C539" s="27"/>
      <c r="D539" s="47"/>
      <c r="E539" s="41" t="str">
        <f t="shared" si="10"/>
        <v xml:space="preserve"> </v>
      </c>
    </row>
    <row r="540" spans="1:5" x14ac:dyDescent="0.25">
      <c r="A540" s="3"/>
      <c r="B540" s="2" t="s">
        <v>357</v>
      </c>
      <c r="C540" s="27"/>
      <c r="D540" s="47"/>
      <c r="E540" s="41" t="str">
        <f t="shared" si="10"/>
        <v xml:space="preserve"> </v>
      </c>
    </row>
    <row r="541" spans="1:5" x14ac:dyDescent="0.25">
      <c r="A541" s="13"/>
      <c r="B541" s="14"/>
      <c r="C541" s="27"/>
      <c r="D541" s="47"/>
      <c r="E541" s="41" t="str">
        <f t="shared" si="10"/>
        <v xml:space="preserve"> </v>
      </c>
    </row>
    <row r="542" spans="1:5" x14ac:dyDescent="0.25">
      <c r="A542" s="22" t="s">
        <v>63</v>
      </c>
      <c r="B542" s="17"/>
      <c r="C542" s="27"/>
      <c r="D542" s="47"/>
      <c r="E542" s="41" t="str">
        <f t="shared" si="10"/>
        <v xml:space="preserve"> </v>
      </c>
    </row>
    <row r="543" spans="1:5" x14ac:dyDescent="0.25">
      <c r="A543" s="12"/>
      <c r="B543" s="5" t="s">
        <v>43</v>
      </c>
      <c r="C543" s="27"/>
      <c r="D543" s="47"/>
      <c r="E543" s="41" t="str">
        <f t="shared" si="10"/>
        <v xml:space="preserve"> </v>
      </c>
    </row>
    <row r="544" spans="1:5" x14ac:dyDescent="0.25">
      <c r="A544" s="3"/>
      <c r="B544" s="2" t="s">
        <v>58</v>
      </c>
      <c r="C544" s="27"/>
      <c r="D544" s="47"/>
      <c r="E544" s="41" t="str">
        <f t="shared" si="10"/>
        <v xml:space="preserve"> </v>
      </c>
    </row>
    <row r="545" spans="1:5" x14ac:dyDescent="0.25">
      <c r="A545" s="3"/>
      <c r="B545" s="2" t="s">
        <v>59</v>
      </c>
      <c r="D545" s="47"/>
      <c r="E545" s="41" t="str">
        <f t="shared" si="10"/>
        <v xml:space="preserve"> </v>
      </c>
    </row>
    <row r="546" spans="1:5" x14ac:dyDescent="0.25">
      <c r="A546" s="3"/>
      <c r="B546" s="2" t="s">
        <v>60</v>
      </c>
      <c r="C546" s="16"/>
      <c r="D546" s="47"/>
      <c r="E546" s="41" t="str">
        <f t="shared" si="10"/>
        <v xml:space="preserve"> </v>
      </c>
    </row>
    <row r="547" spans="1:5" x14ac:dyDescent="0.25">
      <c r="A547" s="3"/>
      <c r="B547" s="1" t="s">
        <v>356</v>
      </c>
      <c r="C547" s="32"/>
      <c r="D547" s="47"/>
      <c r="E547" s="41" t="str">
        <f t="shared" si="10"/>
        <v xml:space="preserve"> </v>
      </c>
    </row>
    <row r="548" spans="1:5" x14ac:dyDescent="0.25">
      <c r="A548" s="3"/>
      <c r="B548" s="2" t="s">
        <v>57</v>
      </c>
      <c r="C548" s="27" t="s">
        <v>49</v>
      </c>
      <c r="D548" s="47"/>
      <c r="E548" s="41" t="str">
        <f t="shared" si="10"/>
        <v>SoldDate</v>
      </c>
    </row>
    <row r="549" spans="1:5" x14ac:dyDescent="0.25">
      <c r="A549" s="3"/>
      <c r="B549" s="2" t="s">
        <v>72</v>
      </c>
      <c r="C549" s="27" t="s">
        <v>50</v>
      </c>
      <c r="D549" s="47"/>
      <c r="E549" s="41" t="str">
        <f t="shared" si="10"/>
        <v>CreditID</v>
      </c>
    </row>
    <row r="550" spans="1:5" x14ac:dyDescent="0.25">
      <c r="A550" s="3"/>
      <c r="B550" s="1" t="s">
        <v>35</v>
      </c>
      <c r="C550" s="27" t="s">
        <v>51</v>
      </c>
      <c r="D550" s="47"/>
      <c r="E550" s="41" t="str">
        <f t="shared" si="10"/>
        <v>SoldAmount</v>
      </c>
    </row>
    <row r="551" spans="1:5" x14ac:dyDescent="0.25">
      <c r="A551" s="3"/>
      <c r="B551" s="2" t="s">
        <v>61</v>
      </c>
      <c r="C551" s="27"/>
      <c r="D551" s="47"/>
      <c r="E551" s="41" t="str">
        <f t="shared" si="10"/>
        <v xml:space="preserve"> </v>
      </c>
    </row>
    <row r="552" spans="1:5" x14ac:dyDescent="0.25">
      <c r="A552" s="3"/>
      <c r="B552" s="2" t="s">
        <v>62</v>
      </c>
      <c r="C552" s="27" t="s">
        <v>52</v>
      </c>
      <c r="D552" s="47"/>
      <c r="E552" s="41" t="str">
        <f t="shared" ref="E552:E557" si="11">IF(C552&gt;0,IF(D552&gt;0,D552, C552)," ")</f>
        <v>IRR</v>
      </c>
    </row>
    <row r="553" spans="1:5" x14ac:dyDescent="0.25">
      <c r="A553" s="13"/>
      <c r="B553" s="19"/>
      <c r="C553" s="27" t="s">
        <v>52</v>
      </c>
      <c r="D553" s="47"/>
      <c r="E553" s="41" t="str">
        <f t="shared" si="11"/>
        <v>IRR</v>
      </c>
    </row>
    <row r="554" spans="1:5" x14ac:dyDescent="0.25">
      <c r="C554" s="27"/>
      <c r="D554" s="47"/>
      <c r="E554" s="41" t="str">
        <f t="shared" si="11"/>
        <v xml:space="preserve"> </v>
      </c>
    </row>
    <row r="555" spans="1:5" x14ac:dyDescent="0.25">
      <c r="C555" s="27" t="s">
        <v>53</v>
      </c>
      <c r="D555" s="47"/>
      <c r="E555" s="41" t="str">
        <f t="shared" si="11"/>
        <v>ExpertID</v>
      </c>
    </row>
    <row r="556" spans="1:5" x14ac:dyDescent="0.25">
      <c r="C556" s="27" t="s">
        <v>54</v>
      </c>
      <c r="D556" s="47"/>
      <c r="E556" s="41" t="str">
        <f t="shared" si="11"/>
        <v xml:space="preserve">BranchID </v>
      </c>
    </row>
    <row r="557" spans="1:5" x14ac:dyDescent="0.25">
      <c r="C557" s="28"/>
      <c r="D557" s="48"/>
      <c r="E557" s="41" t="str">
        <f t="shared" si="11"/>
        <v xml:space="preserve"> </v>
      </c>
    </row>
  </sheetData>
  <autoFilter ref="A1:C1" xr:uid="{00000000-0001-0000-0000-000000000000}"/>
  <conditionalFormatting sqref="E3:E557">
    <cfRule type="expression" dxfId="0" priority="1">
      <formula>$D3&gt;0</formula>
    </cfRule>
  </conditionalFormatting>
  <pageMargins left="0.7" right="0.7" top="0.75" bottom="0.75" header="0.3" footer="0.3"/>
  <pageSetup paperSize="9" orientation="portrait" r:id="rId1"/>
  <headerFooter>
    <oddFooter>&amp;L&amp;"-,Bold"&amp;20&amp;K01+023CONFIDENTIAL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Eugeniu Pascal</dc:creator>
  <cp:lastModifiedBy>Eugeniu Pascal</cp:lastModifiedBy>
  <cp:lastPrinted>2020-02-11T13:29:47Z</cp:lastPrinted>
  <dcterms:created xsi:type="dcterms:W3CDTF">2015-06-05T18:17:20Z</dcterms:created>
  <dcterms:modified xsi:type="dcterms:W3CDTF">2026-02-17T07:51:03Z</dcterms:modified>
</cp:coreProperties>
</file>